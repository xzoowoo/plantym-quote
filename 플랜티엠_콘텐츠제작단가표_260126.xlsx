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owoo\Downloads\"/>
    </mc:Choice>
  </mc:AlternateContent>
  <xr:revisionPtr revIDLastSave="0" documentId="8_{FA801CC4-6EC3-4C06-B394-A25948E4C937}" xr6:coauthVersionLast="47" xr6:coauthVersionMax="47" xr10:uidLastSave="{00000000-0000-0000-0000-000000000000}"/>
  <bookViews>
    <workbookView xWindow="-120" yWindow="-120" windowWidth="29040" windowHeight="15720" tabRatio="517" xr2:uid="{F4A4015D-95A7-40A4-BFD3-F5C133E2D3D9}"/>
  </bookViews>
  <sheets>
    <sheet name="콘텐츠 제작 단가(내부 공유용)" sheetId="2" r:id="rId1"/>
    <sheet name="AI 콘텐츠 제작 단가(내부 공유용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I16" i="3"/>
  <c r="I15" i="3"/>
  <c r="I14" i="3"/>
  <c r="I9" i="3"/>
  <c r="I8" i="3"/>
  <c r="I7" i="3"/>
  <c r="I6" i="3"/>
  <c r="I5" i="3"/>
  <c r="J69" i="2"/>
  <c r="J68" i="2"/>
  <c r="J67" i="2"/>
  <c r="J61" i="2"/>
  <c r="P21" i="2"/>
  <c r="J53" i="2"/>
  <c r="J54" i="2"/>
  <c r="J55" i="2"/>
  <c r="J56" i="2"/>
  <c r="J57" i="2"/>
  <c r="J58" i="2"/>
  <c r="J59" i="2"/>
  <c r="J60" i="2"/>
  <c r="J52" i="2"/>
  <c r="P29" i="2"/>
  <c r="P28" i="2"/>
  <c r="P16" i="2"/>
  <c r="P17" i="2"/>
  <c r="P18" i="2"/>
  <c r="P19" i="2"/>
  <c r="P20" i="2"/>
  <c r="P15" i="2"/>
  <c r="J28" i="2"/>
  <c r="J29" i="2"/>
  <c r="J27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4" i="2"/>
  <c r="I19" i="3" l="1"/>
  <c r="I10" i="3"/>
  <c r="J70" i="2"/>
  <c r="J62" i="2"/>
</calcChain>
</file>

<file path=xl/sharedStrings.xml><?xml version="1.0" encoding="utf-8"?>
<sst xmlns="http://schemas.openxmlformats.org/spreadsheetml/2006/main" count="276" uniqueCount="139">
  <si>
    <t>구분</t>
    <phoneticPr fontId="2" type="noConversion"/>
  </si>
  <si>
    <t>작업 분류</t>
    <phoneticPr fontId="2" type="noConversion"/>
  </si>
  <si>
    <t>난이도</t>
    <phoneticPr fontId="2" type="noConversion"/>
  </si>
  <si>
    <t>이미지</t>
    <phoneticPr fontId="2" type="noConversion"/>
  </si>
  <si>
    <t>소스 리서치</t>
    <phoneticPr fontId="2" type="noConversion"/>
  </si>
  <si>
    <t>포토샵, 일러스트</t>
    <phoneticPr fontId="2" type="noConversion"/>
  </si>
  <si>
    <t>-</t>
    <phoneticPr fontId="2" type="noConversion"/>
  </si>
  <si>
    <t>포토샵</t>
    <phoneticPr fontId="2" type="noConversion"/>
  </si>
  <si>
    <t>영상</t>
    <phoneticPr fontId="2" type="noConversion"/>
  </si>
  <si>
    <t>인코딩</t>
    <phoneticPr fontId="2" type="noConversion"/>
  </si>
  <si>
    <t>화면전환</t>
    <phoneticPr fontId="2" type="noConversion"/>
  </si>
  <si>
    <t>특수효과</t>
    <phoneticPr fontId="2" type="noConversion"/>
  </si>
  <si>
    <t>강조효과</t>
    <phoneticPr fontId="2" type="noConversion"/>
  </si>
  <si>
    <t>애니메이션</t>
    <phoneticPr fontId="2" type="noConversion"/>
  </si>
  <si>
    <t>텍스트 작업</t>
    <phoneticPr fontId="2" type="noConversion"/>
  </si>
  <si>
    <t>게티이미지뱅크 등</t>
    <phoneticPr fontId="2" type="noConversion"/>
  </si>
  <si>
    <t>사이즈 변경</t>
    <phoneticPr fontId="2" type="noConversion"/>
  </si>
  <si>
    <t>사용 툴</t>
    <phoneticPr fontId="2" type="noConversion"/>
  </si>
  <si>
    <t>디자인 요소 추가</t>
    <phoneticPr fontId="2" type="noConversion"/>
  </si>
  <si>
    <t>이미지 제작</t>
    <phoneticPr fontId="2" type="noConversion"/>
  </si>
  <si>
    <t>합성</t>
    <phoneticPr fontId="2" type="noConversion"/>
  </si>
  <si>
    <t>MP4 변환</t>
    <phoneticPr fontId="2" type="noConversion"/>
  </si>
  <si>
    <t>USB용 변환</t>
    <phoneticPr fontId="2" type="noConversion"/>
  </si>
  <si>
    <t>누끼</t>
    <phoneticPr fontId="2" type="noConversion"/>
  </si>
  <si>
    <t>소스 분리</t>
    <phoneticPr fontId="2" type="noConversion"/>
  </si>
  <si>
    <t>소스 재배치</t>
    <phoneticPr fontId="2" type="noConversion"/>
  </si>
  <si>
    <t>이미지, 영상 롤링</t>
    <phoneticPr fontId="2" type="noConversion"/>
  </si>
  <si>
    <t>에프터이펙트</t>
    <phoneticPr fontId="2" type="noConversion"/>
  </si>
  <si>
    <t>영상 편집</t>
    <phoneticPr fontId="2" type="noConversion"/>
  </si>
  <si>
    <t>영상 컷 편집</t>
    <phoneticPr fontId="2" type="noConversion"/>
  </si>
  <si>
    <t>기본</t>
    <phoneticPr fontId="2" type="noConversion"/>
  </si>
  <si>
    <t>고급</t>
    <phoneticPr fontId="2" type="noConversion"/>
  </si>
  <si>
    <t>비고</t>
    <phoneticPr fontId="2" type="noConversion"/>
  </si>
  <si>
    <t>등장효과</t>
    <phoneticPr fontId="2" type="noConversion"/>
  </si>
  <si>
    <t>모션</t>
    <phoneticPr fontId="2" type="noConversion"/>
  </si>
  <si>
    <t>렌더</t>
    <phoneticPr fontId="2" type="noConversion"/>
  </si>
  <si>
    <t>영상 출력</t>
    <phoneticPr fontId="2" type="noConversion"/>
  </si>
  <si>
    <t>이미지 편집</t>
    <phoneticPr fontId="2" type="noConversion"/>
  </si>
  <si>
    <t>비디오월</t>
    <phoneticPr fontId="2" type="noConversion"/>
  </si>
  <si>
    <t>이미지 서치</t>
    <phoneticPr fontId="2" type="noConversion"/>
  </si>
  <si>
    <t>이미지/영상/디자인 파일 웹 검색</t>
    <phoneticPr fontId="2" type="noConversion"/>
  </si>
  <si>
    <t>이미지 크기 변경</t>
    <phoneticPr fontId="2" type="noConversion"/>
  </si>
  <si>
    <t>제품 이미지 배경 제거</t>
    <phoneticPr fontId="2" type="noConversion"/>
  </si>
  <si>
    <t>원본 데이터 파일에서 오브젝트 분리(예: 제품, 배경, 텍스트)</t>
    <phoneticPr fontId="2" type="noConversion"/>
  </si>
  <si>
    <t>패널 규격에 맞춘 소스 재배치(예: 가로 비율 16:9&lt;-&gt;세로 비율 9:16)</t>
    <phoneticPr fontId="2" type="noConversion"/>
  </si>
  <si>
    <t>이미지 합성</t>
    <phoneticPr fontId="2" type="noConversion"/>
  </si>
  <si>
    <t>이미지에 텍스트 추가</t>
    <phoneticPr fontId="2" type="noConversion"/>
  </si>
  <si>
    <t>이미지에 그래픽/디자인 요소 추가</t>
    <phoneticPr fontId="2" type="noConversion"/>
  </si>
  <si>
    <t>이미지/영상 다수를 순차적으로 배치</t>
    <phoneticPr fontId="2" type="noConversion"/>
  </si>
  <si>
    <t>디졸브 등 기본 전환 효과</t>
    <phoneticPr fontId="2" type="noConversion"/>
  </si>
  <si>
    <t>화면 전체 이동, 제품·오브젝트 활용 전환</t>
    <phoneticPr fontId="2" type="noConversion"/>
  </si>
  <si>
    <t>상·하·좌·우 이동 후 등장</t>
    <phoneticPr fontId="2" type="noConversion"/>
  </si>
  <si>
    <t>3D 공간 활용, 크기 조절 등 다양한 등장 효과</t>
    <phoneticPr fontId="2" type="noConversion"/>
  </si>
  <si>
    <t>크기 확대·축소, 위아래 반복 움직임</t>
    <phoneticPr fontId="2" type="noConversion"/>
  </si>
  <si>
    <t>제품·텍스트 크기 확대·축소 반복, 반짝임 효과</t>
    <phoneticPr fontId="2" type="noConversion"/>
  </si>
  <si>
    <t>연기, 물방울 등 단순 효과</t>
    <phoneticPr fontId="2" type="noConversion"/>
  </si>
  <si>
    <t>빛·불·물·얼음, 음료 따르기/섞이기, 배경 반짝임</t>
    <phoneticPr fontId="2" type="noConversion"/>
  </si>
  <si>
    <t>이미지 서치 + 편집</t>
    <phoneticPr fontId="2" type="noConversion"/>
  </si>
  <si>
    <t>자막 삽입</t>
    <phoneticPr fontId="2" type="noConversion"/>
  </si>
  <si>
    <t>소요시간</t>
    <phoneticPr fontId="2" type="noConversion"/>
  </si>
  <si>
    <t>기본 영상 출력(MP4)/1분</t>
    <phoneticPr fontId="2" type="noConversion"/>
  </si>
  <si>
    <t>LG패널용 USB 송출 변환(LG 슈퍼사인)/1개</t>
    <phoneticPr fontId="2" type="noConversion"/>
  </si>
  <si>
    <t>형식 변환(AVI → MP4 등)/1분</t>
    <phoneticPr fontId="2" type="noConversion"/>
  </si>
  <si>
    <t>기준</t>
    <phoneticPr fontId="2" type="noConversion"/>
  </si>
  <si>
    <t>비용</t>
    <phoneticPr fontId="2" type="noConversion"/>
  </si>
  <si>
    <t>포토샵, 일러스트,에프터이펙트</t>
    <phoneticPr fontId="2" type="noConversion"/>
  </si>
  <si>
    <t>패널수</t>
    <phoneticPr fontId="2" type="noConversion"/>
  </si>
  <si>
    <t>합계</t>
    <phoneticPr fontId="2" type="noConversion"/>
  </si>
  <si>
    <t>캐릭터 상·하·좌·우 기본 움직임</t>
  </si>
  <si>
    <t>캐릭터 상·하·좌·우 기본 움직임</t>
    <phoneticPr fontId="2" type="noConversion"/>
  </si>
  <si>
    <t>캐릭터 개별 움직임, 개별 텍스트 애니메이션(타이포그래피), 배경 애니메이션</t>
    <phoneticPr fontId="2" type="noConversion"/>
  </si>
  <si>
    <t>텍스트 움직임 반복</t>
    <phoneticPr fontId="2" type="noConversion"/>
  </si>
  <si>
    <t>제품 상·하·좌·우 이동 후 등장</t>
    <phoneticPr fontId="2" type="noConversion"/>
  </si>
  <si>
    <t>원본 데이터 파일에서 오브젝트 분리</t>
    <phoneticPr fontId="2" type="noConversion"/>
  </si>
  <si>
    <t>이미지, 영상 순차적으로 배치</t>
    <phoneticPr fontId="2" type="noConversion"/>
  </si>
  <si>
    <t>배경 낙엽 애니메이션</t>
    <phoneticPr fontId="2" type="noConversion"/>
  </si>
  <si>
    <t xml:space="preserve">- 기준 근거 : 한국디자인산업연합회(KODIA) 2025년 산업별 노임단가표  
</t>
    <phoneticPr fontId="2" type="noConversion"/>
  </si>
  <si>
    <t>- 상기 단가는 외주용역 및 내부원가 산출 기준으로 활용하며, 프로젝트 난이도 및 협력 범위에 따라 조정될 수 있음.</t>
    <phoneticPr fontId="2" type="noConversion"/>
  </si>
  <si>
    <t>음료 거품 움직임(AI)</t>
    <phoneticPr fontId="2" type="noConversion"/>
  </si>
  <si>
    <t>1. 비용 산출 기준</t>
    <phoneticPr fontId="2" type="noConversion"/>
  </si>
  <si>
    <t>2. 적용 범위</t>
    <phoneticPr fontId="2" type="noConversion"/>
  </si>
  <si>
    <t>애니메이션(기본)</t>
    <phoneticPr fontId="2" type="noConversion"/>
  </si>
  <si>
    <t>애니메이션(고급)</t>
    <phoneticPr fontId="2" type="noConversion"/>
  </si>
  <si>
    <t>이미지 서치 + 편집 + 영상 편집 + 기본 모션 + 비디오월 + 렌더</t>
    <phoneticPr fontId="2" type="noConversion"/>
  </si>
  <si>
    <t>이미지 서치 + 편집 + 영상 편집 + 고급 모션 + 비디오월 + 렌더</t>
    <phoneticPr fontId="2" type="noConversion"/>
  </si>
  <si>
    <t>이미지 서치 + 편집 + 영상 편집 + 고급 모션 +렌더</t>
    <phoneticPr fontId="2" type="noConversion"/>
  </si>
  <si>
    <t>이미지 서치 + 편집 + 영상 편집 + 기본 모션 + 렌더</t>
    <phoneticPr fontId="2" type="noConversion"/>
  </si>
  <si>
    <t>영상 제작</t>
    <phoneticPr fontId="2" type="noConversion"/>
  </si>
  <si>
    <t>영상 제작 + 동기화</t>
    <phoneticPr fontId="2" type="noConversion"/>
  </si>
  <si>
    <t>여러 패널에 동시 노출(단순 배치)</t>
    <phoneticPr fontId="2" type="noConversion"/>
  </si>
  <si>
    <t>비정형 패널 형태, 동기화 모션 작업</t>
    <phoneticPr fontId="2" type="noConversion"/>
  </si>
  <si>
    <t>4K이상 출력(MP4)/1분</t>
    <phoneticPr fontId="2" type="noConversion"/>
  </si>
  <si>
    <t>영상 출력(고급)</t>
    <phoneticPr fontId="2" type="noConversion"/>
  </si>
  <si>
    <r>
      <t>2. 제작 단가 단순 합산 예시</t>
    </r>
    <r>
      <rPr>
        <b/>
        <sz val="9"/>
        <color theme="1"/>
        <rFont val="맑은 고딕"/>
        <family val="3"/>
        <charset val="129"/>
        <scheme val="minor"/>
      </rPr>
      <t>(패널 1개 기준)</t>
    </r>
    <phoneticPr fontId="2" type="noConversion"/>
  </si>
  <si>
    <t>1. 콘텐츠 제작 단가표(내부 공유용)</t>
    <phoneticPr fontId="2" type="noConversion"/>
  </si>
  <si>
    <t>(단위: 시간=분, 비용=원, 난이도=계수)</t>
    <phoneticPr fontId="2" type="noConversion"/>
  </si>
  <si>
    <t xml:space="preserve">- 기준 단가 : 시각디자이너 중급 기준 : 188,040원 / 1일 (8시간 기준)  </t>
    <phoneticPr fontId="2" type="noConversion"/>
  </si>
  <si>
    <t>- 기본 디자인 작업 외 기획, 콘센트 시안, 스토리보드 작성 등 추가적인 업무가 포함될 경우 별도 협의 후 조정될 수 있음.</t>
    <phoneticPr fontId="2" type="noConversion"/>
  </si>
  <si>
    <t>- 본 견적서의 인건비는 디지털 메뉴보드용 콘텐츠(모션그래픽, 이미지 및 영상 편집 디자인)등의 업무 수행에 대한 비용을 포함함.</t>
    <phoneticPr fontId="2" type="noConversion"/>
  </si>
  <si>
    <t>*프랜차이즈 매장 콘텐츠 제작 견적 (할리스커피 오사카점 제작 견적 예시)</t>
    <phoneticPr fontId="2" type="noConversion"/>
  </si>
  <si>
    <t>*난이도 가중치 :  하=1.0 / 중=1.5 / 상=2.0</t>
    <phoneticPr fontId="2" type="noConversion"/>
  </si>
  <si>
    <t>- 중 (보통) : 디자인 요소 추가, 텍스트 추가, 합성 등 중간 수준 작업</t>
    <phoneticPr fontId="2" type="noConversion"/>
  </si>
  <si>
    <t>- 상 (고급) : 모션그래픽, 특수효과, 복잡한 디자인 작업 및 복합적인 디자인 작업 등의 복합적인 기술을 요하는 작업</t>
    <phoneticPr fontId="2" type="noConversion"/>
  </si>
  <si>
    <t>- 하 (기본) : 단순 편집, 반복 작업 등 기본 수준의 작업</t>
    <phoneticPr fontId="2" type="noConversion"/>
  </si>
  <si>
    <t>3. 제작 일정</t>
    <phoneticPr fontId="2" type="noConversion"/>
  </si>
  <si>
    <t xml:space="preserve">- 작업은 프로젝트 단위로 병행 진행되므로, 동일 작업 시간이라도 실제 납품일정은 다를 수 있습니다. </t>
    <phoneticPr fontId="2" type="noConversion"/>
  </si>
  <si>
    <t>- 난이도(중) 수준의 디자인 및 영상 작업 : 3~7일 권장</t>
    <phoneticPr fontId="2" type="noConversion"/>
  </si>
  <si>
    <t>- 난이도(상) 수준의 디자인 및 영상 작업 : 7~20일 권장</t>
    <phoneticPr fontId="2" type="noConversion"/>
  </si>
  <si>
    <t>- 난이도(하) 수준의 단순 디자인 및 영상 작업 : 1~3일 권장</t>
    <phoneticPr fontId="2" type="noConversion"/>
  </si>
  <si>
    <t>- 정확한 일정은 작업량, 수정 횟수, 검수 일정에 따라 별도 협의 후 확정됩니다.</t>
    <phoneticPr fontId="2" type="noConversion"/>
  </si>
  <si>
    <t>- 상기 표의 소요시간(분)은 내부 원가 산출 기준으로, 실제 제작 일정 산정 시에는 ‘작업 소요일(Day)’ 기준으로 산정됩니다.</t>
    <phoneticPr fontId="2" type="noConversion"/>
  </si>
  <si>
    <t>- 상기 제작 일정은 워크데이(주말·공휴일 제외 기준) 기준으로 산정됩니다.</t>
    <phoneticPr fontId="2" type="noConversion"/>
  </si>
  <si>
    <t>1건</t>
    <phoneticPr fontId="2" type="noConversion"/>
  </si>
  <si>
    <t>프롬프트 엔지니어링</t>
    <phoneticPr fontId="2" type="noConversion"/>
  </si>
  <si>
    <t>기획 및 리서치</t>
    <phoneticPr fontId="2" type="noConversion"/>
  </si>
  <si>
    <t>이미지 생성 및 선별</t>
    <phoneticPr fontId="2" type="noConversion"/>
  </si>
  <si>
    <t>레퍼런스 수집 및 스타일 분석</t>
    <phoneticPr fontId="2" type="noConversion"/>
  </si>
  <si>
    <t>후보정 및 합성</t>
    <phoneticPr fontId="2" type="noConversion"/>
  </si>
  <si>
    <t>후보정 및 합성, 업스케일</t>
    <phoneticPr fontId="2" type="noConversion"/>
  </si>
  <si>
    <t>AI 솔루션 사용</t>
    <phoneticPr fontId="2" type="noConversion"/>
  </si>
  <si>
    <t>AI 이미지 생성 솔루션 이용료</t>
    <phoneticPr fontId="2" type="noConversion"/>
  </si>
  <si>
    <t>프롬프트 설계 및 테스트</t>
    <phoneticPr fontId="2" type="noConversion"/>
  </si>
  <si>
    <t>AI 이미지 생성 결과물 선별</t>
    <phoneticPr fontId="2" type="noConversion"/>
  </si>
  <si>
    <t>영상 생성 및 선별</t>
    <phoneticPr fontId="2" type="noConversion"/>
  </si>
  <si>
    <t>AI 영상 생성 결과물 선별</t>
    <phoneticPr fontId="2" type="noConversion"/>
  </si>
  <si>
    <t>AI 이미지</t>
    <phoneticPr fontId="2" type="noConversion"/>
  </si>
  <si>
    <t>AI 영상</t>
    <phoneticPr fontId="2" type="noConversion"/>
  </si>
  <si>
    <t>*AI 이미지 생성 견적 예시</t>
    <phoneticPr fontId="2" type="noConversion"/>
  </si>
  <si>
    <t>*AI 영상 생성 견적 예시</t>
    <phoneticPr fontId="2" type="noConversion"/>
  </si>
  <si>
    <t>Midjourney, Gemini</t>
    <phoneticPr fontId="2" type="noConversion"/>
  </si>
  <si>
    <t>Midjourney, Gemini, Adobe Photoshop</t>
    <phoneticPr fontId="2" type="noConversion"/>
  </si>
  <si>
    <t>Midjourney, Gemini, Adobe After Effects</t>
    <phoneticPr fontId="2" type="noConversion"/>
  </si>
  <si>
    <t>2. AI 솔루션 사용료 산출 기준</t>
    <phoneticPr fontId="2" type="noConversion"/>
  </si>
  <si>
    <t>3. 적용 범위</t>
    <phoneticPr fontId="2" type="noConversion"/>
  </si>
  <si>
    <t>4. 제작 일정</t>
    <phoneticPr fontId="2" type="noConversion"/>
  </si>
  <si>
    <t xml:space="preserve">- 산출 근거: </t>
    <phoneticPr fontId="2" type="noConversion"/>
  </si>
  <si>
    <t>- 이미지 생성 : 월 구독료 실비(540,000원) ÷ 월 표준 작업량(120건) : 4,500원/1건</t>
    <phoneticPr fontId="2" type="noConversion"/>
  </si>
  <si>
    <t>- 영상 생성 : 월 구독료 실비(540,000원) ÷ 월 표준 작업량(52건) : 10,400원/1건</t>
    <phoneticPr fontId="2" type="noConversion"/>
  </si>
  <si>
    <t>- 적용 툴 : Midjourney Mega Plan, Gemini Ultra Plan (전문가 전용 유료 플랜)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</si>
</sst>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#,##0_ "/>
    <numFmt numFmtId="177" formatCode="0&quot;분&quot;"/>
    <numFmt numFmtId="178" formatCode="0&quot;m&quot;"/>
    <numFmt numFmtId="179" formatCode="[=1]&quot;하&quot;;0"/>
    <numFmt numFmtId="180" formatCode="[=1.5]&quot;중&quot;;0"/>
    <numFmt numFmtId="181" formatCode="[=2]&quot;상&quot;;0"/>
    <numFmt numFmtId="182" formatCode="0&quot;건&quot;"/>
    <numFmt numFmtId="183" formatCode="0&quot;장&quot;"/>
    <numFmt numFmtId="184" formatCode="0&quot;개&quot;"/>
  </numFmts>
  <fonts count="10" x14ac:knownFonts="1"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184" fontId="3" fillId="0" borderId="1" xfId="0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1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1" fontId="1" fillId="2" borderId="5" xfId="0" applyNumberFormat="1" applyFont="1" applyFill="1" applyBorder="1">
      <alignment vertical="center"/>
    </xf>
    <xf numFmtId="41" fontId="1" fillId="2" borderId="1" xfId="0" applyNumberFormat="1" applyFont="1" applyFill="1" applyBorder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3" fillId="0" borderId="1" xfId="0" quotePrefix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84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82" fontId="3" fillId="0" borderId="3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9" fontId="3" fillId="0" borderId="3" xfId="0" applyNumberFormat="1" applyFont="1" applyBorder="1" applyAlignment="1">
      <alignment horizontal="center" vertical="center"/>
    </xf>
    <xf numFmtId="184" fontId="3" fillId="0" borderId="3" xfId="0" applyNumberFormat="1" applyFont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82" fontId="3" fillId="0" borderId="2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80" fontId="3" fillId="0" borderId="2" xfId="0" applyNumberFormat="1" applyFont="1" applyBorder="1" applyAlignment="1">
      <alignment horizontal="center" vertical="center"/>
    </xf>
    <xf numFmtId="184" fontId="3" fillId="0" borderId="2" xfId="0" applyNumberFormat="1" applyFont="1" applyBorder="1" applyAlignment="1">
      <alignment horizontal="center" vertical="center"/>
    </xf>
    <xf numFmtId="41" fontId="3" fillId="0" borderId="2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7" xfId="0" applyFont="1" applyFill="1" applyBorder="1">
      <alignment vertical="center"/>
    </xf>
    <xf numFmtId="0" fontId="1" fillId="2" borderId="6" xfId="0" applyFont="1" applyFill="1" applyBorder="1">
      <alignment vertical="center"/>
    </xf>
    <xf numFmtId="182" fontId="1" fillId="2" borderId="1" xfId="0" applyNumberFormat="1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84" fontId="1" fillId="2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182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4" fontId="1" fillId="0" borderId="0" xfId="0" applyNumberFormat="1" applyFont="1" applyAlignment="1">
      <alignment horizontal="center" vertical="center"/>
    </xf>
    <xf numFmtId="41" fontId="1" fillId="0" borderId="0" xfId="0" applyNumberFormat="1" applyFont="1">
      <alignment vertical="center"/>
    </xf>
    <xf numFmtId="0" fontId="3" fillId="0" borderId="0" xfId="0" applyFont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DF2D-0A2D-4D19-9766-E531F0A912E3}">
  <dimension ref="B2:R70"/>
  <sheetViews>
    <sheetView showGridLines="0" tabSelected="1" zoomScaleNormal="100" workbookViewId="0">
      <selection activeCell="E73" sqref="E73"/>
    </sheetView>
  </sheetViews>
  <sheetFormatPr defaultRowHeight="16.5" x14ac:dyDescent="0.3"/>
  <cols>
    <col min="1" max="1" width="2.25" customWidth="1"/>
    <col min="2" max="2" width="6" style="1" bestFit="1" customWidth="1"/>
    <col min="3" max="3" width="10" style="1" customWidth="1"/>
    <col min="4" max="4" width="17" style="1" customWidth="1"/>
    <col min="5" max="5" width="48.625" customWidth="1"/>
    <col min="6" max="9" width="7.5" customWidth="1"/>
    <col min="10" max="10" width="10.75" customWidth="1"/>
    <col min="11" max="11" width="52.75" customWidth="1"/>
    <col min="12" max="15" width="7.5" customWidth="1"/>
    <col min="16" max="16" width="10.5" customWidth="1"/>
    <col min="17" max="17" width="22.75" customWidth="1"/>
    <col min="18" max="18" width="12.875" customWidth="1"/>
  </cols>
  <sheetData>
    <row r="2" spans="2:18" ht="26.25" x14ac:dyDescent="0.3">
      <c r="B2" s="21" t="s">
        <v>94</v>
      </c>
      <c r="C2" s="22"/>
      <c r="Q2" s="29"/>
      <c r="R2" s="30" t="s">
        <v>95</v>
      </c>
    </row>
    <row r="3" spans="2:18" x14ac:dyDescent="0.3">
      <c r="B3" s="73" t="s">
        <v>0</v>
      </c>
      <c r="C3" s="74"/>
      <c r="D3" s="23" t="s">
        <v>1</v>
      </c>
      <c r="E3" s="23" t="s">
        <v>30</v>
      </c>
      <c r="F3" s="23" t="s">
        <v>63</v>
      </c>
      <c r="G3" s="23" t="s">
        <v>59</v>
      </c>
      <c r="H3" s="23" t="s">
        <v>2</v>
      </c>
      <c r="I3" s="24" t="s">
        <v>66</v>
      </c>
      <c r="J3" s="23" t="s">
        <v>64</v>
      </c>
      <c r="K3" s="23" t="s">
        <v>31</v>
      </c>
      <c r="L3" s="23" t="s">
        <v>63</v>
      </c>
      <c r="M3" s="23" t="s">
        <v>59</v>
      </c>
      <c r="N3" s="23" t="s">
        <v>2</v>
      </c>
      <c r="O3" s="24" t="s">
        <v>66</v>
      </c>
      <c r="P3" s="25" t="s">
        <v>64</v>
      </c>
      <c r="Q3" s="23" t="s">
        <v>17</v>
      </c>
      <c r="R3" s="23" t="s">
        <v>32</v>
      </c>
    </row>
    <row r="4" spans="2:18" x14ac:dyDescent="0.3">
      <c r="B4" s="76" t="s">
        <v>3</v>
      </c>
      <c r="C4" s="4" t="s">
        <v>39</v>
      </c>
      <c r="D4" s="4" t="s">
        <v>4</v>
      </c>
      <c r="E4" s="5" t="s">
        <v>40</v>
      </c>
      <c r="F4" s="14">
        <v>1</v>
      </c>
      <c r="G4" s="10">
        <v>60</v>
      </c>
      <c r="H4" s="11">
        <v>1</v>
      </c>
      <c r="I4" s="16">
        <v>1</v>
      </c>
      <c r="J4" s="17">
        <f>F4*(G4/60)*H4*I4*23505</f>
        <v>23505</v>
      </c>
      <c r="K4" s="31" t="s">
        <v>6</v>
      </c>
      <c r="L4" s="4"/>
      <c r="M4" s="4"/>
      <c r="N4" s="4"/>
      <c r="P4" s="6"/>
      <c r="Q4" s="4" t="s">
        <v>15</v>
      </c>
      <c r="R4" s="5"/>
    </row>
    <row r="5" spans="2:18" x14ac:dyDescent="0.3">
      <c r="B5" s="76"/>
      <c r="C5" s="80" t="s">
        <v>37</v>
      </c>
      <c r="D5" s="4" t="s">
        <v>16</v>
      </c>
      <c r="E5" s="5" t="s">
        <v>41</v>
      </c>
      <c r="F5" s="15">
        <v>5</v>
      </c>
      <c r="G5" s="10">
        <v>1</v>
      </c>
      <c r="H5" s="11">
        <v>1</v>
      </c>
      <c r="I5" s="16">
        <v>1</v>
      </c>
      <c r="J5" s="17">
        <f t="shared" ref="J5:J23" si="0">F5*(G5/60)*H5*I5*23505</f>
        <v>1958.75</v>
      </c>
      <c r="K5" s="31" t="s">
        <v>6</v>
      </c>
      <c r="L5" s="4"/>
      <c r="M5" s="4"/>
      <c r="N5" s="4"/>
      <c r="O5" s="4"/>
      <c r="P5" s="6"/>
      <c r="Q5" s="4" t="s">
        <v>7</v>
      </c>
      <c r="R5" s="5"/>
    </row>
    <row r="6" spans="2:18" x14ac:dyDescent="0.3">
      <c r="B6" s="76"/>
      <c r="C6" s="80"/>
      <c r="D6" s="4" t="s">
        <v>23</v>
      </c>
      <c r="E6" s="5" t="s">
        <v>42</v>
      </c>
      <c r="F6" s="15">
        <v>1</v>
      </c>
      <c r="G6" s="10">
        <v>20</v>
      </c>
      <c r="H6" s="12">
        <v>1.5</v>
      </c>
      <c r="I6" s="16">
        <v>1</v>
      </c>
      <c r="J6" s="17">
        <f t="shared" si="0"/>
        <v>11752.5</v>
      </c>
      <c r="K6" s="31" t="s">
        <v>6</v>
      </c>
      <c r="L6" s="4"/>
      <c r="M6" s="4"/>
      <c r="N6" s="4"/>
      <c r="O6" s="4"/>
      <c r="P6" s="6"/>
      <c r="Q6" s="4" t="s">
        <v>7</v>
      </c>
      <c r="R6" s="5"/>
    </row>
    <row r="7" spans="2:18" x14ac:dyDescent="0.3">
      <c r="B7" s="76"/>
      <c r="C7" s="80"/>
      <c r="D7" s="4" t="s">
        <v>24</v>
      </c>
      <c r="E7" s="5" t="s">
        <v>43</v>
      </c>
      <c r="F7" s="15">
        <v>1</v>
      </c>
      <c r="G7" s="10">
        <v>30</v>
      </c>
      <c r="H7" s="12">
        <v>1.5</v>
      </c>
      <c r="I7" s="16">
        <v>1</v>
      </c>
      <c r="J7" s="17">
        <f t="shared" si="0"/>
        <v>17628.75</v>
      </c>
      <c r="K7" s="31" t="s">
        <v>6</v>
      </c>
      <c r="L7" s="4"/>
      <c r="M7" s="4"/>
      <c r="N7" s="4"/>
      <c r="O7" s="4"/>
      <c r="P7" s="6"/>
      <c r="Q7" s="4" t="s">
        <v>5</v>
      </c>
      <c r="R7" s="5"/>
    </row>
    <row r="8" spans="2:18" x14ac:dyDescent="0.3">
      <c r="B8" s="76"/>
      <c r="C8" s="80"/>
      <c r="D8" s="4" t="s">
        <v>25</v>
      </c>
      <c r="E8" s="5" t="s">
        <v>44</v>
      </c>
      <c r="F8" s="15">
        <v>1</v>
      </c>
      <c r="G8" s="10">
        <v>30</v>
      </c>
      <c r="H8" s="12">
        <v>1.5</v>
      </c>
      <c r="I8" s="16">
        <v>1</v>
      </c>
      <c r="J8" s="17">
        <f t="shared" si="0"/>
        <v>17628.75</v>
      </c>
      <c r="K8" s="31" t="s">
        <v>6</v>
      </c>
      <c r="L8" s="4"/>
      <c r="M8" s="4"/>
      <c r="N8" s="4"/>
      <c r="O8" s="4"/>
      <c r="P8" s="6"/>
      <c r="Q8" s="4" t="s">
        <v>7</v>
      </c>
      <c r="R8" s="5"/>
    </row>
    <row r="9" spans="2:18" x14ac:dyDescent="0.3">
      <c r="B9" s="76"/>
      <c r="C9" s="80"/>
      <c r="D9" s="4" t="s">
        <v>20</v>
      </c>
      <c r="E9" s="5" t="s">
        <v>45</v>
      </c>
      <c r="F9" s="15">
        <v>1</v>
      </c>
      <c r="G9" s="10">
        <v>10</v>
      </c>
      <c r="H9" s="12">
        <v>1.5</v>
      </c>
      <c r="I9" s="16">
        <v>1</v>
      </c>
      <c r="J9" s="17">
        <f t="shared" si="0"/>
        <v>5876.25</v>
      </c>
      <c r="K9" s="31" t="s">
        <v>6</v>
      </c>
      <c r="L9" s="4"/>
      <c r="M9" s="4"/>
      <c r="N9" s="4"/>
      <c r="O9" s="4"/>
      <c r="P9" s="6"/>
      <c r="Q9" s="4" t="s">
        <v>7</v>
      </c>
      <c r="R9" s="5"/>
    </row>
    <row r="10" spans="2:18" x14ac:dyDescent="0.3">
      <c r="B10" s="76"/>
      <c r="C10" s="80"/>
      <c r="D10" s="4" t="s">
        <v>14</v>
      </c>
      <c r="E10" s="5" t="s">
        <v>46</v>
      </c>
      <c r="F10" s="15">
        <v>1</v>
      </c>
      <c r="G10" s="10">
        <v>10</v>
      </c>
      <c r="H10" s="12">
        <v>1.5</v>
      </c>
      <c r="I10" s="16">
        <v>1</v>
      </c>
      <c r="J10" s="17">
        <f t="shared" si="0"/>
        <v>5876.25</v>
      </c>
      <c r="K10" s="31" t="s">
        <v>6</v>
      </c>
      <c r="L10" s="4"/>
      <c r="M10" s="4"/>
      <c r="N10" s="4"/>
      <c r="O10" s="4"/>
      <c r="P10" s="6"/>
      <c r="Q10" s="4" t="s">
        <v>5</v>
      </c>
      <c r="R10" s="5"/>
    </row>
    <row r="11" spans="2:18" x14ac:dyDescent="0.3">
      <c r="B11" s="76"/>
      <c r="C11" s="80"/>
      <c r="D11" s="4" t="s">
        <v>18</v>
      </c>
      <c r="E11" s="5" t="s">
        <v>47</v>
      </c>
      <c r="F11" s="15">
        <v>1</v>
      </c>
      <c r="G11" s="10">
        <v>10</v>
      </c>
      <c r="H11" s="12">
        <v>1.5</v>
      </c>
      <c r="I11" s="16">
        <v>1</v>
      </c>
      <c r="J11" s="17">
        <f t="shared" si="0"/>
        <v>5876.25</v>
      </c>
      <c r="K11" s="31" t="s">
        <v>6</v>
      </c>
      <c r="L11" s="4"/>
      <c r="M11" s="4"/>
      <c r="N11" s="4"/>
      <c r="O11" s="4"/>
      <c r="P11" s="6"/>
      <c r="Q11" s="4" t="s">
        <v>5</v>
      </c>
      <c r="R11" s="5"/>
    </row>
    <row r="12" spans="2:18" x14ac:dyDescent="0.3">
      <c r="B12" s="76" t="s">
        <v>8</v>
      </c>
      <c r="C12" s="81" t="s">
        <v>28</v>
      </c>
      <c r="D12" s="4" t="s">
        <v>28</v>
      </c>
      <c r="E12" s="5" t="s">
        <v>29</v>
      </c>
      <c r="F12" s="9">
        <v>1</v>
      </c>
      <c r="G12" s="10">
        <v>5</v>
      </c>
      <c r="H12" s="11">
        <v>1</v>
      </c>
      <c r="I12" s="16">
        <v>1</v>
      </c>
      <c r="J12" s="17">
        <f t="shared" si="0"/>
        <v>1958.75</v>
      </c>
      <c r="K12" s="31" t="s">
        <v>6</v>
      </c>
      <c r="L12" s="4"/>
      <c r="M12" s="4"/>
      <c r="N12" s="4"/>
      <c r="O12" s="4"/>
      <c r="P12" s="6"/>
      <c r="Q12" s="4" t="s">
        <v>27</v>
      </c>
      <c r="R12" s="5"/>
    </row>
    <row r="13" spans="2:18" x14ac:dyDescent="0.3">
      <c r="B13" s="76"/>
      <c r="C13" s="82"/>
      <c r="D13" s="4" t="s">
        <v>58</v>
      </c>
      <c r="E13" s="5" t="s">
        <v>58</v>
      </c>
      <c r="F13" s="9">
        <v>1</v>
      </c>
      <c r="G13" s="10">
        <v>10</v>
      </c>
      <c r="H13" s="11">
        <v>1</v>
      </c>
      <c r="I13" s="16">
        <v>1</v>
      </c>
      <c r="J13" s="17">
        <f t="shared" si="0"/>
        <v>3917.5</v>
      </c>
      <c r="K13" s="31" t="s">
        <v>6</v>
      </c>
      <c r="L13" s="4"/>
      <c r="M13" s="4"/>
      <c r="N13" s="4"/>
      <c r="O13" s="4"/>
      <c r="P13" s="6"/>
      <c r="Q13" s="4" t="s">
        <v>27</v>
      </c>
      <c r="R13" s="5"/>
    </row>
    <row r="14" spans="2:18" x14ac:dyDescent="0.3">
      <c r="B14" s="76"/>
      <c r="C14" s="81" t="s">
        <v>34</v>
      </c>
      <c r="D14" s="4" t="s">
        <v>26</v>
      </c>
      <c r="E14" s="5" t="s">
        <v>48</v>
      </c>
      <c r="F14" s="15">
        <v>10</v>
      </c>
      <c r="G14" s="10">
        <v>5</v>
      </c>
      <c r="H14" s="11">
        <v>1</v>
      </c>
      <c r="I14" s="16">
        <v>1</v>
      </c>
      <c r="J14" s="17">
        <f t="shared" si="0"/>
        <v>19587.5</v>
      </c>
      <c r="K14" s="31" t="s">
        <v>6</v>
      </c>
      <c r="L14" s="4"/>
      <c r="M14" s="4"/>
      <c r="N14" s="4"/>
      <c r="O14" s="4"/>
      <c r="P14" s="6"/>
      <c r="Q14" s="4" t="s">
        <v>27</v>
      </c>
      <c r="R14" s="5"/>
    </row>
    <row r="15" spans="2:18" x14ac:dyDescent="0.3">
      <c r="B15" s="76"/>
      <c r="C15" s="83"/>
      <c r="D15" s="8" t="s">
        <v>10</v>
      </c>
      <c r="E15" s="5" t="s">
        <v>49</v>
      </c>
      <c r="F15" s="14">
        <v>1</v>
      </c>
      <c r="G15" s="10">
        <v>1</v>
      </c>
      <c r="H15" s="11">
        <v>1</v>
      </c>
      <c r="I15" s="16">
        <v>1</v>
      </c>
      <c r="J15" s="17">
        <f t="shared" si="0"/>
        <v>391.75</v>
      </c>
      <c r="K15" s="5" t="s">
        <v>50</v>
      </c>
      <c r="L15" s="14">
        <v>1</v>
      </c>
      <c r="M15" s="10">
        <v>30</v>
      </c>
      <c r="N15" s="12">
        <v>1.5</v>
      </c>
      <c r="O15" s="16">
        <v>1</v>
      </c>
      <c r="P15" s="17">
        <f>L15*(M15/60)*N15*23505</f>
        <v>17628.75</v>
      </c>
      <c r="Q15" s="4" t="s">
        <v>27</v>
      </c>
      <c r="R15" s="5"/>
    </row>
    <row r="16" spans="2:18" x14ac:dyDescent="0.3">
      <c r="B16" s="76"/>
      <c r="C16" s="83"/>
      <c r="D16" s="4" t="s">
        <v>33</v>
      </c>
      <c r="E16" s="5" t="s">
        <v>51</v>
      </c>
      <c r="F16" s="14">
        <v>1</v>
      </c>
      <c r="G16" s="10">
        <v>10</v>
      </c>
      <c r="H16" s="11">
        <v>1</v>
      </c>
      <c r="I16" s="16">
        <v>1</v>
      </c>
      <c r="J16" s="17">
        <f t="shared" si="0"/>
        <v>3917.5</v>
      </c>
      <c r="K16" s="5" t="s">
        <v>52</v>
      </c>
      <c r="L16" s="14">
        <v>1</v>
      </c>
      <c r="M16" s="10">
        <v>45</v>
      </c>
      <c r="N16" s="13">
        <v>2</v>
      </c>
      <c r="O16" s="16">
        <v>1</v>
      </c>
      <c r="P16" s="17">
        <f t="shared" ref="P16:P20" si="1">L16*(M16/60)*N16*23505</f>
        <v>35257.5</v>
      </c>
      <c r="Q16" s="4" t="s">
        <v>27</v>
      </c>
      <c r="R16" s="5"/>
    </row>
    <row r="17" spans="2:18" x14ac:dyDescent="0.3">
      <c r="B17" s="76"/>
      <c r="C17" s="83"/>
      <c r="D17" s="4" t="s">
        <v>12</v>
      </c>
      <c r="E17" s="5" t="s">
        <v>53</v>
      </c>
      <c r="F17" s="14">
        <v>1</v>
      </c>
      <c r="G17" s="10">
        <v>10</v>
      </c>
      <c r="H17" s="11">
        <v>1</v>
      </c>
      <c r="I17" s="16">
        <v>1</v>
      </c>
      <c r="J17" s="17">
        <f t="shared" si="0"/>
        <v>3917.5</v>
      </c>
      <c r="K17" s="5" t="s">
        <v>54</v>
      </c>
      <c r="L17" s="14">
        <v>1</v>
      </c>
      <c r="M17" s="10">
        <v>45</v>
      </c>
      <c r="N17" s="12">
        <v>1.5</v>
      </c>
      <c r="O17" s="16">
        <v>1</v>
      </c>
      <c r="P17" s="17">
        <f t="shared" si="1"/>
        <v>26443.125</v>
      </c>
      <c r="Q17" s="4" t="s">
        <v>27</v>
      </c>
      <c r="R17" s="5"/>
    </row>
    <row r="18" spans="2:18" x14ac:dyDescent="0.3">
      <c r="B18" s="76"/>
      <c r="C18" s="83"/>
      <c r="D18" s="4" t="s">
        <v>11</v>
      </c>
      <c r="E18" s="5" t="s">
        <v>55</v>
      </c>
      <c r="F18" s="14">
        <v>1</v>
      </c>
      <c r="G18" s="10">
        <v>5</v>
      </c>
      <c r="H18" s="12">
        <v>1.5</v>
      </c>
      <c r="I18" s="16">
        <v>1</v>
      </c>
      <c r="J18" s="17">
        <f t="shared" si="0"/>
        <v>2938.125</v>
      </c>
      <c r="K18" s="5" t="s">
        <v>56</v>
      </c>
      <c r="L18" s="15">
        <v>1</v>
      </c>
      <c r="M18" s="10">
        <v>150</v>
      </c>
      <c r="N18" s="13">
        <v>2</v>
      </c>
      <c r="O18" s="16">
        <v>1</v>
      </c>
      <c r="P18" s="17">
        <f t="shared" si="1"/>
        <v>117525</v>
      </c>
      <c r="Q18" s="4" t="s">
        <v>27</v>
      </c>
      <c r="R18" s="5"/>
    </row>
    <row r="19" spans="2:18" x14ac:dyDescent="0.3">
      <c r="B19" s="76"/>
      <c r="C19" s="82"/>
      <c r="D19" s="4" t="s">
        <v>13</v>
      </c>
      <c r="E19" s="5" t="s">
        <v>69</v>
      </c>
      <c r="F19" s="14">
        <v>1</v>
      </c>
      <c r="G19" s="10">
        <v>10</v>
      </c>
      <c r="H19" s="11">
        <v>1</v>
      </c>
      <c r="I19" s="16">
        <v>1</v>
      </c>
      <c r="J19" s="17">
        <f t="shared" si="0"/>
        <v>3917.5</v>
      </c>
      <c r="K19" s="5" t="s">
        <v>70</v>
      </c>
      <c r="L19" s="14">
        <v>1</v>
      </c>
      <c r="M19" s="10">
        <v>165</v>
      </c>
      <c r="N19" s="13">
        <v>2</v>
      </c>
      <c r="O19" s="16">
        <v>1</v>
      </c>
      <c r="P19" s="17">
        <f t="shared" si="1"/>
        <v>129277.5</v>
      </c>
      <c r="Q19" s="4" t="s">
        <v>27</v>
      </c>
      <c r="R19" s="5"/>
    </row>
    <row r="20" spans="2:18" x14ac:dyDescent="0.3">
      <c r="B20" s="76"/>
      <c r="C20" s="4" t="s">
        <v>38</v>
      </c>
      <c r="D20" s="4" t="s">
        <v>38</v>
      </c>
      <c r="E20" s="5" t="s">
        <v>89</v>
      </c>
      <c r="F20" s="14">
        <v>1</v>
      </c>
      <c r="G20" s="10">
        <v>5</v>
      </c>
      <c r="H20" s="11">
        <v>1</v>
      </c>
      <c r="I20" s="16">
        <v>1</v>
      </c>
      <c r="J20" s="17">
        <f t="shared" si="0"/>
        <v>1958.75</v>
      </c>
      <c r="K20" s="5" t="s">
        <v>90</v>
      </c>
      <c r="L20" s="14">
        <v>1</v>
      </c>
      <c r="M20" s="10">
        <v>30</v>
      </c>
      <c r="N20" s="11">
        <v>1</v>
      </c>
      <c r="O20" s="16">
        <v>1</v>
      </c>
      <c r="P20" s="17">
        <f t="shared" si="1"/>
        <v>11752.5</v>
      </c>
      <c r="Q20" s="4" t="s">
        <v>27</v>
      </c>
      <c r="R20" s="5"/>
    </row>
    <row r="21" spans="2:18" s="2" customFormat="1" ht="16.5" customHeight="1" x14ac:dyDescent="0.3">
      <c r="B21" s="76"/>
      <c r="C21" s="4" t="s">
        <v>35</v>
      </c>
      <c r="D21" s="4" t="s">
        <v>36</v>
      </c>
      <c r="E21" s="7" t="s">
        <v>60</v>
      </c>
      <c r="F21" s="9">
        <v>1</v>
      </c>
      <c r="G21" s="10">
        <v>2</v>
      </c>
      <c r="H21" s="11">
        <v>1</v>
      </c>
      <c r="I21" s="16">
        <v>1</v>
      </c>
      <c r="J21" s="17">
        <f t="shared" si="0"/>
        <v>783.5</v>
      </c>
      <c r="K21" s="7" t="s">
        <v>91</v>
      </c>
      <c r="L21" s="9">
        <v>1</v>
      </c>
      <c r="M21" s="10">
        <v>3</v>
      </c>
      <c r="N21" s="12">
        <v>1.5</v>
      </c>
      <c r="O21" s="16">
        <v>1</v>
      </c>
      <c r="P21" s="17">
        <f t="shared" ref="P21" si="2">L21*(M21/60)*N21*O21*23505</f>
        <v>1762.8750000000002</v>
      </c>
      <c r="Q21" s="4" t="s">
        <v>27</v>
      </c>
      <c r="R21" s="5"/>
    </row>
    <row r="22" spans="2:18" x14ac:dyDescent="0.3">
      <c r="B22" s="76"/>
      <c r="C22" s="80" t="s">
        <v>9</v>
      </c>
      <c r="D22" s="4" t="s">
        <v>21</v>
      </c>
      <c r="E22" s="5" t="s">
        <v>62</v>
      </c>
      <c r="F22" s="9">
        <v>1</v>
      </c>
      <c r="G22" s="10">
        <v>2</v>
      </c>
      <c r="H22" s="11">
        <v>1</v>
      </c>
      <c r="I22" s="16">
        <v>1</v>
      </c>
      <c r="J22" s="17">
        <f t="shared" si="0"/>
        <v>783.5</v>
      </c>
      <c r="K22" s="31" t="s">
        <v>6</v>
      </c>
      <c r="L22" s="4"/>
      <c r="M22" s="4"/>
      <c r="N22" s="4"/>
      <c r="O22" s="4"/>
      <c r="P22" s="6"/>
      <c r="Q22" s="4" t="s">
        <v>27</v>
      </c>
      <c r="R22" s="5"/>
    </row>
    <row r="23" spans="2:18" ht="16.5" customHeight="1" x14ac:dyDescent="0.3">
      <c r="B23" s="76"/>
      <c r="C23" s="80"/>
      <c r="D23" s="4" t="s">
        <v>22</v>
      </c>
      <c r="E23" s="5" t="s">
        <v>61</v>
      </c>
      <c r="F23" s="16">
        <v>1</v>
      </c>
      <c r="G23" s="10">
        <v>5</v>
      </c>
      <c r="H23" s="11">
        <v>1</v>
      </c>
      <c r="I23" s="16">
        <v>1</v>
      </c>
      <c r="J23" s="17">
        <f t="shared" si="0"/>
        <v>1958.75</v>
      </c>
      <c r="K23" s="31" t="s">
        <v>6</v>
      </c>
      <c r="L23" s="4"/>
      <c r="M23" s="4"/>
      <c r="N23" s="4"/>
      <c r="O23" s="4"/>
      <c r="P23" s="6"/>
      <c r="Q23" s="4" t="s">
        <v>27</v>
      </c>
      <c r="R23" s="5"/>
    </row>
    <row r="24" spans="2:18" s="2" customFormat="1" ht="16.5" customHeight="1" x14ac:dyDescent="0.3">
      <c r="B24" s="3"/>
      <c r="C24" s="3"/>
      <c r="D24" s="3"/>
      <c r="N24" s="3"/>
      <c r="O24" s="3"/>
      <c r="Q24" s="3"/>
    </row>
    <row r="25" spans="2:18" s="2" customFormat="1" ht="26.25" customHeight="1" x14ac:dyDescent="0.3">
      <c r="B25" s="21" t="s">
        <v>93</v>
      </c>
      <c r="C25" s="3"/>
      <c r="D25" s="3"/>
      <c r="N25" s="3"/>
      <c r="O25" s="3"/>
      <c r="Q25" s="3"/>
    </row>
    <row r="26" spans="2:18" s="2" customFormat="1" ht="16.5" customHeight="1" x14ac:dyDescent="0.3">
      <c r="B26" s="23" t="s">
        <v>0</v>
      </c>
      <c r="C26" s="75" t="s">
        <v>1</v>
      </c>
      <c r="D26" s="74"/>
      <c r="E26" s="23" t="s">
        <v>30</v>
      </c>
      <c r="F26" s="23" t="s">
        <v>63</v>
      </c>
      <c r="G26" s="23" t="s">
        <v>59</v>
      </c>
      <c r="H26" s="23" t="s">
        <v>2</v>
      </c>
      <c r="I26" s="24" t="s">
        <v>66</v>
      </c>
      <c r="J26" s="23" t="s">
        <v>64</v>
      </c>
      <c r="K26" s="23" t="s">
        <v>31</v>
      </c>
      <c r="L26" s="23" t="s">
        <v>63</v>
      </c>
      <c r="M26" s="23" t="s">
        <v>59</v>
      </c>
      <c r="N26" s="23" t="s">
        <v>2</v>
      </c>
      <c r="O26" s="24" t="s">
        <v>66</v>
      </c>
      <c r="P26" s="25" t="s">
        <v>64</v>
      </c>
      <c r="Q26" s="23" t="s">
        <v>17</v>
      </c>
      <c r="R26" s="23" t="s">
        <v>32</v>
      </c>
    </row>
    <row r="27" spans="2:18" s="2" customFormat="1" ht="16.5" customHeight="1" x14ac:dyDescent="0.3">
      <c r="B27" s="23" t="s">
        <v>3</v>
      </c>
      <c r="C27" s="77" t="s">
        <v>19</v>
      </c>
      <c r="D27" s="78"/>
      <c r="E27" s="18" t="s">
        <v>57</v>
      </c>
      <c r="F27" s="14">
        <v>1</v>
      </c>
      <c r="G27" s="10">
        <v>171</v>
      </c>
      <c r="H27" s="12">
        <v>1.5</v>
      </c>
      <c r="I27" s="16">
        <v>1</v>
      </c>
      <c r="J27" s="17">
        <f>F27*(G27/60)*H27*I27*23505</f>
        <v>100483.87500000001</v>
      </c>
      <c r="K27" s="31" t="s">
        <v>6</v>
      </c>
      <c r="L27" s="14"/>
      <c r="M27" s="10"/>
      <c r="N27" s="13"/>
      <c r="O27" s="13"/>
      <c r="P27" s="17"/>
      <c r="Q27" s="4" t="s">
        <v>5</v>
      </c>
      <c r="R27" s="5"/>
    </row>
    <row r="28" spans="2:18" s="2" customFormat="1" ht="16.5" customHeight="1" x14ac:dyDescent="0.3">
      <c r="B28" s="65" t="s">
        <v>8</v>
      </c>
      <c r="C28" s="77" t="s">
        <v>87</v>
      </c>
      <c r="D28" s="78"/>
      <c r="E28" s="18" t="s">
        <v>86</v>
      </c>
      <c r="F28" s="14">
        <v>1</v>
      </c>
      <c r="G28" s="10">
        <v>227</v>
      </c>
      <c r="H28" s="13">
        <v>2</v>
      </c>
      <c r="I28" s="16">
        <v>1</v>
      </c>
      <c r="J28" s="17">
        <f t="shared" ref="J28:J29" si="3">F28*(G28/60)*H28*I28*23505</f>
        <v>177854.5</v>
      </c>
      <c r="K28" s="18" t="s">
        <v>85</v>
      </c>
      <c r="L28" s="14">
        <v>1</v>
      </c>
      <c r="M28" s="10">
        <v>628</v>
      </c>
      <c r="N28" s="13">
        <v>2</v>
      </c>
      <c r="O28" s="16">
        <v>1</v>
      </c>
      <c r="P28" s="17">
        <f>L28*(M28/60)*N28*O28*23505</f>
        <v>492038</v>
      </c>
      <c r="Q28" s="4" t="s">
        <v>65</v>
      </c>
      <c r="R28" s="7"/>
    </row>
    <row r="29" spans="2:18" s="2" customFormat="1" ht="16.5" customHeight="1" x14ac:dyDescent="0.3">
      <c r="B29" s="67"/>
      <c r="C29" s="77" t="s">
        <v>88</v>
      </c>
      <c r="D29" s="78"/>
      <c r="E29" s="18" t="s">
        <v>83</v>
      </c>
      <c r="F29" s="14">
        <v>1</v>
      </c>
      <c r="G29" s="10">
        <v>234</v>
      </c>
      <c r="H29" s="13">
        <v>2</v>
      </c>
      <c r="I29" s="16">
        <v>1</v>
      </c>
      <c r="J29" s="17">
        <f t="shared" si="3"/>
        <v>183339</v>
      </c>
      <c r="K29" s="18" t="s">
        <v>84</v>
      </c>
      <c r="L29" s="14">
        <v>1</v>
      </c>
      <c r="M29" s="10">
        <v>658</v>
      </c>
      <c r="N29" s="13">
        <v>2</v>
      </c>
      <c r="O29" s="16">
        <v>1</v>
      </c>
      <c r="P29" s="17">
        <f>L29*(M29/60)*N29*O29*23505</f>
        <v>515543</v>
      </c>
      <c r="Q29" s="4" t="s">
        <v>65</v>
      </c>
      <c r="R29" s="7"/>
    </row>
    <row r="30" spans="2:18" x14ac:dyDescent="0.3">
      <c r="B30" s="79" t="s">
        <v>100</v>
      </c>
      <c r="C30" s="79"/>
      <c r="D30" s="79"/>
      <c r="E30" s="79"/>
    </row>
    <row r="31" spans="2:18" x14ac:dyDescent="0.3">
      <c r="B31" s="69" t="s">
        <v>103</v>
      </c>
      <c r="C31" s="69"/>
      <c r="D31" s="69"/>
      <c r="E31" s="69"/>
    </row>
    <row r="32" spans="2:18" x14ac:dyDescent="0.3">
      <c r="B32" s="69" t="s">
        <v>101</v>
      </c>
      <c r="C32" s="69"/>
      <c r="D32" s="69"/>
      <c r="E32" s="69"/>
    </row>
    <row r="33" spans="2:7" x14ac:dyDescent="0.3">
      <c r="B33" s="69" t="s">
        <v>102</v>
      </c>
      <c r="C33" s="69"/>
      <c r="D33" s="69"/>
      <c r="E33" s="69"/>
    </row>
    <row r="34" spans="2:7" x14ac:dyDescent="0.3">
      <c r="B34" s="19"/>
      <c r="C34" s="19"/>
      <c r="D34" s="19"/>
      <c r="E34" s="19"/>
    </row>
    <row r="35" spans="2:7" x14ac:dyDescent="0.3">
      <c r="B35" s="68" t="s">
        <v>79</v>
      </c>
      <c r="C35" s="68"/>
      <c r="D35" s="68"/>
      <c r="E35" s="68"/>
    </row>
    <row r="36" spans="2:7" x14ac:dyDescent="0.3">
      <c r="B36" s="70" t="s">
        <v>96</v>
      </c>
      <c r="C36" s="69"/>
      <c r="D36" s="69"/>
      <c r="E36" s="69"/>
    </row>
    <row r="37" spans="2:7" x14ac:dyDescent="0.3">
      <c r="B37" s="69" t="s">
        <v>76</v>
      </c>
      <c r="C37" s="69"/>
      <c r="D37" s="69"/>
      <c r="E37" s="69"/>
    </row>
    <row r="38" spans="2:7" x14ac:dyDescent="0.3">
      <c r="B38" s="69" t="s">
        <v>77</v>
      </c>
      <c r="C38" s="69"/>
      <c r="D38" s="69"/>
      <c r="E38" s="69"/>
    </row>
    <row r="39" spans="2:7" x14ac:dyDescent="0.3">
      <c r="B39" s="68" t="s">
        <v>80</v>
      </c>
      <c r="C39" s="68"/>
      <c r="D39" s="68"/>
      <c r="E39" s="68"/>
    </row>
    <row r="40" spans="2:7" ht="16.5" customHeight="1" x14ac:dyDescent="0.3">
      <c r="B40" s="70" t="s">
        <v>98</v>
      </c>
      <c r="C40" s="70"/>
      <c r="D40" s="70"/>
      <c r="E40" s="70"/>
      <c r="F40" s="70"/>
      <c r="G40" s="70"/>
    </row>
    <row r="41" spans="2:7" x14ac:dyDescent="0.3">
      <c r="B41" s="69" t="s">
        <v>97</v>
      </c>
      <c r="C41" s="69"/>
      <c r="D41" s="69"/>
      <c r="E41" s="69"/>
    </row>
    <row r="42" spans="2:7" x14ac:dyDescent="0.3">
      <c r="B42" s="71" t="s">
        <v>104</v>
      </c>
      <c r="C42" s="71"/>
      <c r="D42" s="71"/>
      <c r="E42" s="71"/>
      <c r="F42" s="71"/>
    </row>
    <row r="43" spans="2:7" x14ac:dyDescent="0.3">
      <c r="B43" s="69" t="s">
        <v>110</v>
      </c>
      <c r="C43" s="69"/>
      <c r="D43" s="69"/>
      <c r="E43" s="69"/>
      <c r="F43" s="69"/>
      <c r="G43" s="69"/>
    </row>
    <row r="44" spans="2:7" x14ac:dyDescent="0.3">
      <c r="B44" s="69" t="s">
        <v>105</v>
      </c>
      <c r="C44" s="69"/>
      <c r="D44" s="69"/>
      <c r="E44" s="69"/>
      <c r="F44" s="69"/>
    </row>
    <row r="45" spans="2:7" x14ac:dyDescent="0.3">
      <c r="B45" s="70" t="s">
        <v>108</v>
      </c>
      <c r="C45" s="69"/>
      <c r="D45" s="69"/>
      <c r="E45" s="69"/>
      <c r="F45" s="69"/>
    </row>
    <row r="46" spans="2:7" x14ac:dyDescent="0.3">
      <c r="B46" s="69" t="s">
        <v>106</v>
      </c>
      <c r="C46" s="69"/>
      <c r="D46" s="69"/>
      <c r="E46" s="69"/>
      <c r="F46" s="69"/>
    </row>
    <row r="47" spans="2:7" x14ac:dyDescent="0.3">
      <c r="B47" s="69" t="s">
        <v>107</v>
      </c>
      <c r="C47" s="69"/>
      <c r="D47" s="69"/>
      <c r="E47" s="69"/>
      <c r="F47" s="19"/>
    </row>
    <row r="48" spans="2:7" x14ac:dyDescent="0.3">
      <c r="B48" s="69" t="s">
        <v>109</v>
      </c>
      <c r="C48" s="69"/>
      <c r="D48" s="69"/>
      <c r="E48" s="69"/>
      <c r="F48" s="69"/>
    </row>
    <row r="49" spans="2:10" x14ac:dyDescent="0.3">
      <c r="B49" s="69" t="s">
        <v>111</v>
      </c>
      <c r="C49" s="69"/>
      <c r="D49" s="69"/>
      <c r="E49" s="69"/>
      <c r="F49" s="69"/>
    </row>
    <row r="50" spans="2:10" x14ac:dyDescent="0.3">
      <c r="B50" s="19"/>
      <c r="C50" s="19"/>
      <c r="D50" s="19"/>
      <c r="E50" s="19"/>
      <c r="F50" s="19"/>
    </row>
    <row r="51" spans="2:10" ht="26.25" customHeight="1" x14ac:dyDescent="0.3">
      <c r="C51" s="20" t="s">
        <v>99</v>
      </c>
    </row>
    <row r="52" spans="2:10" x14ac:dyDescent="0.3">
      <c r="C52" s="23" t="s">
        <v>3</v>
      </c>
      <c r="D52" s="4" t="s">
        <v>24</v>
      </c>
      <c r="E52" s="7" t="s">
        <v>73</v>
      </c>
      <c r="F52" s="15">
        <v>1</v>
      </c>
      <c r="G52" s="10">
        <v>30</v>
      </c>
      <c r="H52" s="12">
        <v>1.5</v>
      </c>
      <c r="I52" s="16">
        <v>1</v>
      </c>
      <c r="J52" s="17">
        <f t="shared" ref="J52:J61" si="4">F52*(G52/60)*H52*I52*23505</f>
        <v>17628.75</v>
      </c>
    </row>
    <row r="53" spans="2:10" x14ac:dyDescent="0.3">
      <c r="C53" s="76" t="s">
        <v>8</v>
      </c>
      <c r="D53" s="4" t="s">
        <v>26</v>
      </c>
      <c r="E53" s="7" t="s">
        <v>74</v>
      </c>
      <c r="F53" s="15">
        <v>3</v>
      </c>
      <c r="G53" s="10">
        <v>5</v>
      </c>
      <c r="H53" s="11">
        <v>1</v>
      </c>
      <c r="I53" s="16">
        <v>1</v>
      </c>
      <c r="J53" s="17">
        <f t="shared" si="4"/>
        <v>5876.25</v>
      </c>
    </row>
    <row r="54" spans="2:10" x14ac:dyDescent="0.3">
      <c r="C54" s="76"/>
      <c r="D54" s="4" t="s">
        <v>10</v>
      </c>
      <c r="E54" s="7" t="s">
        <v>49</v>
      </c>
      <c r="F54" s="14">
        <v>2</v>
      </c>
      <c r="G54" s="10">
        <v>1</v>
      </c>
      <c r="H54" s="11">
        <v>1</v>
      </c>
      <c r="I54" s="16">
        <v>1</v>
      </c>
      <c r="J54" s="17">
        <f t="shared" si="4"/>
        <v>783.5</v>
      </c>
    </row>
    <row r="55" spans="2:10" x14ac:dyDescent="0.3">
      <c r="C55" s="76"/>
      <c r="D55" s="4" t="s">
        <v>33</v>
      </c>
      <c r="E55" s="7" t="s">
        <v>72</v>
      </c>
      <c r="F55" s="14">
        <v>1</v>
      </c>
      <c r="G55" s="10">
        <v>10</v>
      </c>
      <c r="H55" s="11">
        <v>1</v>
      </c>
      <c r="I55" s="16">
        <v>1</v>
      </c>
      <c r="J55" s="17">
        <f t="shared" si="4"/>
        <v>3917.5</v>
      </c>
    </row>
    <row r="56" spans="2:10" x14ac:dyDescent="0.3">
      <c r="C56" s="76"/>
      <c r="D56" s="4" t="s">
        <v>12</v>
      </c>
      <c r="E56" s="7" t="s">
        <v>71</v>
      </c>
      <c r="F56" s="14">
        <v>1</v>
      </c>
      <c r="G56" s="10">
        <v>45</v>
      </c>
      <c r="H56" s="12">
        <v>1.5</v>
      </c>
      <c r="I56" s="16">
        <v>1</v>
      </c>
      <c r="J56" s="17">
        <f t="shared" si="4"/>
        <v>26443.125</v>
      </c>
    </row>
    <row r="57" spans="2:10" x14ac:dyDescent="0.3">
      <c r="C57" s="76"/>
      <c r="D57" s="4" t="s">
        <v>11</v>
      </c>
      <c r="E57" s="7" t="s">
        <v>78</v>
      </c>
      <c r="F57" s="15">
        <v>1</v>
      </c>
      <c r="G57" s="10">
        <v>150</v>
      </c>
      <c r="H57" s="13">
        <v>2</v>
      </c>
      <c r="I57" s="16">
        <v>1</v>
      </c>
      <c r="J57" s="17">
        <f t="shared" si="4"/>
        <v>117525</v>
      </c>
    </row>
    <row r="58" spans="2:10" x14ac:dyDescent="0.3">
      <c r="C58" s="76"/>
      <c r="D58" s="4" t="s">
        <v>81</v>
      </c>
      <c r="E58" s="7" t="s">
        <v>68</v>
      </c>
      <c r="F58" s="14">
        <v>1</v>
      </c>
      <c r="G58" s="10">
        <v>10</v>
      </c>
      <c r="H58" s="11">
        <v>1</v>
      </c>
      <c r="I58" s="16">
        <v>1</v>
      </c>
      <c r="J58" s="17">
        <f t="shared" si="4"/>
        <v>3917.5</v>
      </c>
    </row>
    <row r="59" spans="2:10" x14ac:dyDescent="0.3">
      <c r="C59" s="76"/>
      <c r="D59" s="4" t="s">
        <v>82</v>
      </c>
      <c r="E59" s="7" t="s">
        <v>75</v>
      </c>
      <c r="F59" s="14">
        <v>1</v>
      </c>
      <c r="G59" s="10">
        <v>165</v>
      </c>
      <c r="H59" s="13">
        <v>2</v>
      </c>
      <c r="I59" s="16">
        <v>2</v>
      </c>
      <c r="J59" s="17">
        <f t="shared" si="4"/>
        <v>258555</v>
      </c>
    </row>
    <row r="60" spans="2:10" x14ac:dyDescent="0.3">
      <c r="C60" s="76"/>
      <c r="D60" s="4" t="s">
        <v>38</v>
      </c>
      <c r="E60" s="7" t="s">
        <v>38</v>
      </c>
      <c r="F60" s="14">
        <v>1</v>
      </c>
      <c r="G60" s="10">
        <v>5</v>
      </c>
      <c r="H60" s="11">
        <v>1</v>
      </c>
      <c r="I60" s="16">
        <v>3</v>
      </c>
      <c r="J60" s="17">
        <f t="shared" si="4"/>
        <v>5876.25</v>
      </c>
    </row>
    <row r="61" spans="2:10" x14ac:dyDescent="0.3">
      <c r="C61" s="76"/>
      <c r="D61" s="4" t="s">
        <v>92</v>
      </c>
      <c r="E61" s="7" t="s">
        <v>91</v>
      </c>
      <c r="F61" s="9">
        <v>1</v>
      </c>
      <c r="G61" s="10">
        <v>3</v>
      </c>
      <c r="H61" s="12">
        <v>1.5</v>
      </c>
      <c r="I61" s="16">
        <v>3</v>
      </c>
      <c r="J61" s="17">
        <f t="shared" si="4"/>
        <v>5288.6250000000009</v>
      </c>
    </row>
    <row r="62" spans="2:10" x14ac:dyDescent="0.3">
      <c r="C62" s="76" t="s">
        <v>67</v>
      </c>
      <c r="D62" s="76"/>
      <c r="E62" s="26"/>
      <c r="F62" s="27"/>
      <c r="G62" s="28">
        <v>423</v>
      </c>
      <c r="H62" s="27"/>
      <c r="I62" s="27"/>
      <c r="J62" s="27">
        <f>SUM(J52:J61)</f>
        <v>445811.5</v>
      </c>
    </row>
    <row r="66" spans="3:10" ht="17.25" x14ac:dyDescent="0.3">
      <c r="C66" s="20" t="s">
        <v>99</v>
      </c>
    </row>
    <row r="67" spans="3:10" x14ac:dyDescent="0.3">
      <c r="C67" s="76" t="s">
        <v>8</v>
      </c>
      <c r="D67" s="4" t="s">
        <v>26</v>
      </c>
      <c r="E67" s="7" t="s">
        <v>74</v>
      </c>
      <c r="F67" s="15">
        <v>20</v>
      </c>
      <c r="G67" s="10">
        <v>10</v>
      </c>
      <c r="H67" s="11">
        <v>1</v>
      </c>
      <c r="I67" s="16">
        <v>1</v>
      </c>
      <c r="J67" s="17">
        <f t="shared" ref="J67:J69" si="5">F67*(G67/60)*H67*I67*23505</f>
        <v>78350</v>
      </c>
    </row>
    <row r="68" spans="3:10" x14ac:dyDescent="0.3">
      <c r="C68" s="76"/>
      <c r="D68" s="4" t="s">
        <v>10</v>
      </c>
      <c r="E68" s="7" t="s">
        <v>49</v>
      </c>
      <c r="F68" s="14">
        <v>20</v>
      </c>
      <c r="G68" s="10">
        <v>5</v>
      </c>
      <c r="H68" s="11">
        <v>1</v>
      </c>
      <c r="I68" s="16">
        <v>1</v>
      </c>
      <c r="J68" s="17">
        <f t="shared" si="5"/>
        <v>39175</v>
      </c>
    </row>
    <row r="69" spans="3:10" x14ac:dyDescent="0.3">
      <c r="C69" s="76"/>
      <c r="D69" s="4" t="s">
        <v>36</v>
      </c>
      <c r="E69" s="7" t="s">
        <v>60</v>
      </c>
      <c r="F69" s="9">
        <v>2</v>
      </c>
      <c r="G69" s="10">
        <v>3</v>
      </c>
      <c r="H69" s="11">
        <v>1</v>
      </c>
      <c r="I69" s="16">
        <v>1</v>
      </c>
      <c r="J69" s="17">
        <f t="shared" si="5"/>
        <v>2350.5</v>
      </c>
    </row>
    <row r="70" spans="3:10" x14ac:dyDescent="0.3">
      <c r="C70" s="76" t="s">
        <v>67</v>
      </c>
      <c r="D70" s="76"/>
      <c r="E70" s="26"/>
      <c r="F70" s="27"/>
      <c r="G70" s="28">
        <v>18</v>
      </c>
      <c r="H70" s="27"/>
      <c r="I70" s="27"/>
      <c r="J70" s="27">
        <f>SUM(J67:J69)</f>
        <v>119875.5</v>
      </c>
    </row>
  </sheetData>
  <mergeCells count="35">
    <mergeCell ref="C67:C69"/>
    <mergeCell ref="C70:D70"/>
    <mergeCell ref="C62:D62"/>
    <mergeCell ref="B36:E36"/>
    <mergeCell ref="B37:E37"/>
    <mergeCell ref="B38:E38"/>
    <mergeCell ref="B39:E39"/>
    <mergeCell ref="B41:E41"/>
    <mergeCell ref="B48:F48"/>
    <mergeCell ref="B43:G43"/>
    <mergeCell ref="B49:F49"/>
    <mergeCell ref="B42:F42"/>
    <mergeCell ref="B44:F44"/>
    <mergeCell ref="C53:C61"/>
    <mergeCell ref="C27:D27"/>
    <mergeCell ref="C28:D28"/>
    <mergeCell ref="C29:D29"/>
    <mergeCell ref="B35:E35"/>
    <mergeCell ref="B30:E30"/>
    <mergeCell ref="B31:E31"/>
    <mergeCell ref="B33:E33"/>
    <mergeCell ref="B28:B29"/>
    <mergeCell ref="B45:F45"/>
    <mergeCell ref="B47:E47"/>
    <mergeCell ref="B46:F46"/>
    <mergeCell ref="B3:C3"/>
    <mergeCell ref="C26:D26"/>
    <mergeCell ref="B40:G40"/>
    <mergeCell ref="B32:E32"/>
    <mergeCell ref="B4:B11"/>
    <mergeCell ref="C5:C11"/>
    <mergeCell ref="B12:B23"/>
    <mergeCell ref="C12:C13"/>
    <mergeCell ref="C14:C19"/>
    <mergeCell ref="C22:C2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C3EE-A5FA-4393-BAC2-8F72CA62284F}">
  <dimension ref="B2:Q47"/>
  <sheetViews>
    <sheetView showGridLines="0" zoomScaleNormal="100" workbookViewId="0">
      <selection activeCell="B28" sqref="B28:E28"/>
    </sheetView>
  </sheetViews>
  <sheetFormatPr defaultRowHeight="16.5" x14ac:dyDescent="0.3"/>
  <cols>
    <col min="1" max="1" width="2.25" customWidth="1"/>
    <col min="2" max="2" width="10.375" style="1" customWidth="1"/>
    <col min="3" max="3" width="20.375" style="1" customWidth="1"/>
    <col min="4" max="4" width="48.25" style="1" customWidth="1"/>
    <col min="5" max="8" width="7.5" customWidth="1"/>
    <col min="9" max="9" width="9.625" customWidth="1"/>
    <col min="10" max="10" width="38.75" customWidth="1"/>
    <col min="11" max="11" width="12.625" customWidth="1"/>
    <col min="12" max="14" width="7.5" customWidth="1"/>
    <col min="15" max="15" width="10.5" customWidth="1"/>
    <col min="16" max="16" width="22.75" customWidth="1"/>
    <col min="17" max="17" width="12.875" customWidth="1"/>
  </cols>
  <sheetData>
    <row r="2" spans="2:17" ht="26.25" x14ac:dyDescent="0.3">
      <c r="B2" s="21" t="s">
        <v>94</v>
      </c>
      <c r="C2" s="22"/>
    </row>
    <row r="3" spans="2:17" ht="26.25" customHeight="1" x14ac:dyDescent="0.3">
      <c r="B3" s="20" t="s">
        <v>127</v>
      </c>
      <c r="C3" s="3"/>
      <c r="D3" s="3"/>
      <c r="E3" s="34"/>
      <c r="F3" s="35"/>
      <c r="G3" s="36"/>
      <c r="H3" s="37"/>
      <c r="I3" s="35"/>
      <c r="J3" s="29"/>
      <c r="K3" s="30" t="s">
        <v>95</v>
      </c>
      <c r="L3" s="3"/>
      <c r="M3" s="3"/>
      <c r="N3" s="3"/>
      <c r="O3" s="38"/>
      <c r="P3" s="3"/>
      <c r="Q3" s="34"/>
    </row>
    <row r="4" spans="2:17" ht="16.5" customHeight="1" x14ac:dyDescent="0.3">
      <c r="B4" s="23" t="s">
        <v>0</v>
      </c>
      <c r="C4" s="23" t="s">
        <v>1</v>
      </c>
      <c r="D4" s="23" t="s">
        <v>30</v>
      </c>
      <c r="E4" s="23" t="s">
        <v>63</v>
      </c>
      <c r="F4" s="23" t="s">
        <v>59</v>
      </c>
      <c r="G4" s="23" t="s">
        <v>2</v>
      </c>
      <c r="H4" s="24" t="s">
        <v>66</v>
      </c>
      <c r="I4" s="23" t="s">
        <v>64</v>
      </c>
      <c r="J4" s="23" t="s">
        <v>17</v>
      </c>
      <c r="K4" s="23" t="s">
        <v>32</v>
      </c>
      <c r="L4" s="3"/>
      <c r="M4" s="3"/>
      <c r="N4" s="3"/>
      <c r="O4" s="38"/>
      <c r="P4" s="3"/>
      <c r="Q4" s="34"/>
    </row>
    <row r="5" spans="2:17" ht="16.5" customHeight="1" x14ac:dyDescent="0.3">
      <c r="B5" s="65" t="s">
        <v>125</v>
      </c>
      <c r="C5" s="4" t="s">
        <v>114</v>
      </c>
      <c r="D5" s="5" t="s">
        <v>116</v>
      </c>
      <c r="E5" s="14">
        <v>1</v>
      </c>
      <c r="F5" s="10">
        <v>30</v>
      </c>
      <c r="G5" s="11">
        <v>1</v>
      </c>
      <c r="H5" s="16">
        <v>1</v>
      </c>
      <c r="I5" s="17">
        <f>E5*(F5/60)*G5*H5*23505</f>
        <v>11752.5</v>
      </c>
      <c r="J5" s="4" t="s">
        <v>129</v>
      </c>
      <c r="K5" s="5"/>
      <c r="L5" s="3"/>
      <c r="M5" s="3"/>
      <c r="N5" s="3"/>
      <c r="O5" s="38"/>
      <c r="P5" s="3"/>
      <c r="Q5" s="34"/>
    </row>
    <row r="6" spans="2:17" ht="16.5" customHeight="1" x14ac:dyDescent="0.3">
      <c r="B6" s="66"/>
      <c r="C6" s="4" t="s">
        <v>113</v>
      </c>
      <c r="D6" s="5" t="s">
        <v>121</v>
      </c>
      <c r="E6" s="14">
        <v>1</v>
      </c>
      <c r="F6" s="10">
        <v>20</v>
      </c>
      <c r="G6" s="12">
        <v>1.5</v>
      </c>
      <c r="H6" s="16">
        <v>1</v>
      </c>
      <c r="I6" s="17">
        <f t="shared" ref="I6:I8" si="0">E6*(F6/60)*G6*H6*23505</f>
        <v>11752.5</v>
      </c>
      <c r="J6" s="4" t="s">
        <v>129</v>
      </c>
      <c r="K6" s="5"/>
      <c r="L6" s="3"/>
      <c r="M6" s="3"/>
      <c r="N6" s="3"/>
      <c r="O6" s="38"/>
      <c r="P6" s="3"/>
      <c r="Q6" s="34"/>
    </row>
    <row r="7" spans="2:17" ht="16.5" customHeight="1" x14ac:dyDescent="0.3">
      <c r="B7" s="66"/>
      <c r="C7" s="4" t="s">
        <v>115</v>
      </c>
      <c r="D7" s="5" t="s">
        <v>122</v>
      </c>
      <c r="E7" s="14">
        <v>1</v>
      </c>
      <c r="F7" s="10">
        <v>10</v>
      </c>
      <c r="G7" s="11">
        <v>1</v>
      </c>
      <c r="H7" s="16">
        <v>1</v>
      </c>
      <c r="I7" s="17">
        <f t="shared" si="0"/>
        <v>3917.5</v>
      </c>
      <c r="J7" s="4" t="s">
        <v>129</v>
      </c>
      <c r="K7" s="5"/>
      <c r="L7" s="3"/>
      <c r="M7" s="3"/>
      <c r="N7" s="3"/>
      <c r="O7" s="38"/>
      <c r="P7" s="3"/>
      <c r="Q7" s="34"/>
    </row>
    <row r="8" spans="2:17" ht="16.5" customHeight="1" x14ac:dyDescent="0.3">
      <c r="B8" s="66"/>
      <c r="C8" s="4" t="s">
        <v>117</v>
      </c>
      <c r="D8" s="5" t="s">
        <v>118</v>
      </c>
      <c r="E8" s="14">
        <v>1</v>
      </c>
      <c r="F8" s="10">
        <v>20</v>
      </c>
      <c r="G8" s="12">
        <v>1.5</v>
      </c>
      <c r="H8" s="16">
        <v>1</v>
      </c>
      <c r="I8" s="17">
        <f t="shared" si="0"/>
        <v>11752.5</v>
      </c>
      <c r="J8" s="4" t="s">
        <v>130</v>
      </c>
      <c r="K8" s="4"/>
      <c r="L8" s="3"/>
      <c r="M8" s="3"/>
      <c r="N8" s="3"/>
      <c r="O8" s="38"/>
      <c r="P8" s="3"/>
      <c r="Q8" s="34"/>
    </row>
    <row r="9" spans="2:17" ht="16.5" customHeight="1" x14ac:dyDescent="0.3">
      <c r="B9" s="67"/>
      <c r="C9" s="8" t="s">
        <v>119</v>
      </c>
      <c r="D9" s="46" t="s">
        <v>120</v>
      </c>
      <c r="E9" s="47">
        <v>1</v>
      </c>
      <c r="F9" s="48"/>
      <c r="G9" s="49"/>
      <c r="H9" s="50"/>
      <c r="I9" s="51">
        <f>E9*(540000/120)</f>
        <v>4500</v>
      </c>
      <c r="J9" s="4" t="s">
        <v>129</v>
      </c>
      <c r="K9" s="8"/>
      <c r="L9" s="3"/>
      <c r="M9" s="3"/>
      <c r="N9" s="3"/>
      <c r="O9" s="38"/>
      <c r="P9" s="3"/>
      <c r="Q9" s="34"/>
    </row>
    <row r="10" spans="2:17" x14ac:dyDescent="0.3">
      <c r="B10" s="32" t="s">
        <v>67</v>
      </c>
      <c r="C10" s="53"/>
      <c r="D10" s="54"/>
      <c r="E10" s="55" t="s">
        <v>112</v>
      </c>
      <c r="F10" s="28">
        <v>80</v>
      </c>
      <c r="G10" s="56"/>
      <c r="H10" s="57"/>
      <c r="I10" s="27">
        <f>SUM(I5:I9)</f>
        <v>43675</v>
      </c>
      <c r="J10" s="52"/>
      <c r="K10" s="52"/>
      <c r="L10" s="3"/>
      <c r="M10" s="3"/>
      <c r="N10" s="3"/>
      <c r="O10" s="38"/>
      <c r="P10" s="3"/>
      <c r="Q10" s="34"/>
    </row>
    <row r="12" spans="2:17" ht="26.25" customHeight="1" x14ac:dyDescent="0.3">
      <c r="B12" s="20" t="s">
        <v>128</v>
      </c>
      <c r="K12" s="30" t="s">
        <v>95</v>
      </c>
    </row>
    <row r="13" spans="2:17" ht="16.5" customHeight="1" x14ac:dyDescent="0.3">
      <c r="B13" s="23" t="s">
        <v>0</v>
      </c>
      <c r="C13" s="23" t="s">
        <v>1</v>
      </c>
      <c r="D13" s="23" t="s">
        <v>30</v>
      </c>
      <c r="E13" s="23" t="s">
        <v>63</v>
      </c>
      <c r="F13" s="23" t="s">
        <v>59</v>
      </c>
      <c r="G13" s="23" t="s">
        <v>2</v>
      </c>
      <c r="H13" s="24" t="s">
        <v>66</v>
      </c>
      <c r="I13" s="23" t="s">
        <v>64</v>
      </c>
      <c r="J13" s="23" t="s">
        <v>17</v>
      </c>
      <c r="K13" s="23" t="s">
        <v>32</v>
      </c>
      <c r="L13" s="3"/>
      <c r="M13" s="3"/>
      <c r="N13" s="3"/>
      <c r="O13" s="38"/>
      <c r="P13" s="3"/>
      <c r="Q13" s="34"/>
    </row>
    <row r="14" spans="2:17" ht="16.5" customHeight="1" x14ac:dyDescent="0.3">
      <c r="B14" s="65" t="s">
        <v>126</v>
      </c>
      <c r="C14" s="33" t="s">
        <v>114</v>
      </c>
      <c r="D14" s="40" t="s">
        <v>116</v>
      </c>
      <c r="E14" s="41">
        <v>1</v>
      </c>
      <c r="F14" s="42">
        <v>30</v>
      </c>
      <c r="G14" s="43">
        <v>1</v>
      </c>
      <c r="H14" s="44">
        <v>1</v>
      </c>
      <c r="I14" s="45">
        <f>E14*(F14/60)*G14*H14*23505</f>
        <v>11752.5</v>
      </c>
      <c r="J14" s="4" t="s">
        <v>129</v>
      </c>
      <c r="K14" s="40"/>
      <c r="L14" s="3"/>
      <c r="M14" s="3"/>
      <c r="N14" s="3"/>
      <c r="O14" s="38"/>
      <c r="P14" s="3"/>
      <c r="Q14" s="34"/>
    </row>
    <row r="15" spans="2:17" ht="16.5" customHeight="1" x14ac:dyDescent="0.3">
      <c r="B15" s="66"/>
      <c r="C15" s="4" t="s">
        <v>113</v>
      </c>
      <c r="D15" s="5" t="s">
        <v>121</v>
      </c>
      <c r="E15" s="14">
        <v>1</v>
      </c>
      <c r="F15" s="10">
        <v>60</v>
      </c>
      <c r="G15" s="12">
        <v>1.5</v>
      </c>
      <c r="H15" s="16">
        <v>1</v>
      </c>
      <c r="I15" s="17">
        <f t="shared" ref="I15:I17" si="1">E15*(F15/60)*G15*H15*23505</f>
        <v>35257.5</v>
      </c>
      <c r="J15" s="4" t="s">
        <v>129</v>
      </c>
      <c r="K15" s="5"/>
      <c r="L15" s="3"/>
      <c r="M15" s="3"/>
      <c r="N15" s="3"/>
      <c r="O15" s="38"/>
      <c r="P15" s="3"/>
      <c r="Q15" s="34"/>
    </row>
    <row r="16" spans="2:17" ht="16.5" customHeight="1" x14ac:dyDescent="0.3">
      <c r="B16" s="66"/>
      <c r="C16" s="4" t="s">
        <v>123</v>
      </c>
      <c r="D16" s="5" t="s">
        <v>124</v>
      </c>
      <c r="E16" s="14">
        <v>1</v>
      </c>
      <c r="F16" s="10">
        <v>50</v>
      </c>
      <c r="G16" s="11">
        <v>1</v>
      </c>
      <c r="H16" s="16">
        <v>1</v>
      </c>
      <c r="I16" s="17">
        <f t="shared" si="1"/>
        <v>19587.5</v>
      </c>
      <c r="J16" s="4" t="s">
        <v>129</v>
      </c>
      <c r="K16" s="5"/>
      <c r="L16" s="3"/>
      <c r="M16" s="3"/>
      <c r="O16" s="38"/>
      <c r="P16" s="3"/>
      <c r="Q16" s="34"/>
    </row>
    <row r="17" spans="2:17" ht="16.5" customHeight="1" x14ac:dyDescent="0.3">
      <c r="B17" s="66"/>
      <c r="C17" s="4" t="s">
        <v>117</v>
      </c>
      <c r="D17" s="5" t="s">
        <v>117</v>
      </c>
      <c r="E17" s="14">
        <v>1</v>
      </c>
      <c r="F17" s="10">
        <v>40</v>
      </c>
      <c r="G17" s="12">
        <v>1.5</v>
      </c>
      <c r="H17" s="16">
        <v>1</v>
      </c>
      <c r="I17" s="17">
        <f t="shared" si="1"/>
        <v>23505</v>
      </c>
      <c r="J17" s="4" t="s">
        <v>131</v>
      </c>
      <c r="K17" s="4"/>
      <c r="L17" s="3"/>
      <c r="M17" s="3"/>
      <c r="N17" s="3"/>
      <c r="O17" s="38"/>
      <c r="P17" s="3"/>
      <c r="Q17" s="34"/>
    </row>
    <row r="18" spans="2:17" ht="16.5" customHeight="1" x14ac:dyDescent="0.3">
      <c r="B18" s="67"/>
      <c r="C18" s="4" t="s">
        <v>119</v>
      </c>
      <c r="D18" s="5" t="s">
        <v>120</v>
      </c>
      <c r="E18" s="14">
        <v>1</v>
      </c>
      <c r="F18" s="10"/>
      <c r="G18" s="12"/>
      <c r="H18" s="16"/>
      <c r="I18" s="17">
        <v>10400</v>
      </c>
      <c r="J18" s="4" t="s">
        <v>129</v>
      </c>
      <c r="K18" s="4"/>
      <c r="L18" s="3"/>
      <c r="M18" s="3"/>
      <c r="N18" s="3"/>
      <c r="O18" s="38"/>
      <c r="P18" s="3"/>
      <c r="Q18" s="34"/>
    </row>
    <row r="19" spans="2:17" ht="16.5" customHeight="1" x14ac:dyDescent="0.3">
      <c r="B19" s="32" t="s">
        <v>67</v>
      </c>
      <c r="C19" s="53"/>
      <c r="D19" s="54"/>
      <c r="E19" s="55" t="s">
        <v>112</v>
      </c>
      <c r="F19" s="28">
        <v>180</v>
      </c>
      <c r="G19" s="56"/>
      <c r="H19" s="57"/>
      <c r="I19" s="27">
        <f>SUM(I14:I18)</f>
        <v>100502.5</v>
      </c>
      <c r="J19" s="52"/>
      <c r="K19" s="52"/>
      <c r="L19" s="3"/>
      <c r="M19" s="3"/>
      <c r="N19" s="3"/>
      <c r="O19" s="38"/>
      <c r="P19" s="3"/>
      <c r="Q19" s="34"/>
    </row>
    <row r="20" spans="2:17" ht="16.5" customHeight="1" x14ac:dyDescent="0.3">
      <c r="B20" s="58"/>
      <c r="C20" s="39"/>
      <c r="D20" s="58"/>
      <c r="E20" s="58"/>
      <c r="F20" s="59"/>
      <c r="G20" s="60"/>
      <c r="H20" s="61"/>
      <c r="I20" s="62"/>
      <c r="J20" s="63"/>
      <c r="K20" s="64"/>
      <c r="L20" s="3"/>
      <c r="M20" s="3"/>
      <c r="N20" s="3"/>
      <c r="O20" s="38"/>
      <c r="P20" s="3"/>
      <c r="Q20" s="34"/>
    </row>
    <row r="21" spans="2:17" x14ac:dyDescent="0.3">
      <c r="B21" s="72" t="s">
        <v>100</v>
      </c>
      <c r="C21" s="72"/>
      <c r="D21" s="72"/>
      <c r="E21" s="72"/>
    </row>
    <row r="22" spans="2:17" x14ac:dyDescent="0.3">
      <c r="B22" s="69" t="s">
        <v>103</v>
      </c>
      <c r="C22" s="69"/>
      <c r="D22" s="69"/>
      <c r="E22" s="69"/>
    </row>
    <row r="23" spans="2:17" x14ac:dyDescent="0.3">
      <c r="B23" s="69" t="s">
        <v>101</v>
      </c>
      <c r="C23" s="69"/>
      <c r="D23" s="69"/>
      <c r="E23" s="69"/>
    </row>
    <row r="24" spans="2:17" x14ac:dyDescent="0.3">
      <c r="B24" s="69" t="s">
        <v>102</v>
      </c>
      <c r="C24" s="69"/>
      <c r="D24" s="69"/>
      <c r="E24" s="69"/>
    </row>
    <row r="25" spans="2:17" x14ac:dyDescent="0.3">
      <c r="B25" s="19"/>
      <c r="C25" s="19"/>
      <c r="D25" s="19"/>
      <c r="E25" s="19"/>
    </row>
    <row r="26" spans="2:17" x14ac:dyDescent="0.3">
      <c r="B26" s="68" t="s">
        <v>79</v>
      </c>
      <c r="C26" s="68"/>
      <c r="D26" s="68"/>
      <c r="E26" s="68"/>
    </row>
    <row r="27" spans="2:17" x14ac:dyDescent="0.3">
      <c r="B27" s="70" t="s">
        <v>96</v>
      </c>
      <c r="C27" s="69"/>
      <c r="D27" s="69"/>
      <c r="E27" s="69"/>
    </row>
    <row r="28" spans="2:17" x14ac:dyDescent="0.3">
      <c r="B28" s="69" t="s">
        <v>76</v>
      </c>
      <c r="C28" s="69"/>
      <c r="D28" s="69"/>
      <c r="E28" s="69"/>
    </row>
    <row r="29" spans="2:17" x14ac:dyDescent="0.3">
      <c r="B29" s="69" t="s">
        <v>77</v>
      </c>
      <c r="C29" s="69"/>
      <c r="D29" s="69"/>
      <c r="E29" s="69"/>
    </row>
    <row r="30" spans="2:17" x14ac:dyDescent="0.3">
      <c r="B30" s="68" t="s">
        <v>132</v>
      </c>
      <c r="C30" s="68"/>
      <c r="D30" s="68"/>
      <c r="E30" s="68"/>
    </row>
    <row r="31" spans="2:17" x14ac:dyDescent="0.3">
      <c r="B31" s="70" t="s">
        <v>138</v>
      </c>
      <c r="C31" s="69"/>
      <c r="D31" s="69"/>
      <c r="E31" s="69"/>
    </row>
    <row r="32" spans="2:17" x14ac:dyDescent="0.3">
      <c r="B32" s="70" t="s">
        <v>135</v>
      </c>
      <c r="C32" s="69"/>
      <c r="D32" s="69"/>
      <c r="E32" s="69"/>
    </row>
    <row r="33" spans="2:7" x14ac:dyDescent="0.3">
      <c r="B33" s="70" t="s">
        <v>136</v>
      </c>
      <c r="C33" s="70"/>
      <c r="D33" s="70"/>
      <c r="E33" s="19"/>
    </row>
    <row r="34" spans="2:7" x14ac:dyDescent="0.3">
      <c r="B34" s="70" t="s">
        <v>137</v>
      </c>
      <c r="C34" s="70"/>
      <c r="D34" s="70"/>
      <c r="E34" s="19"/>
    </row>
    <row r="35" spans="2:7" x14ac:dyDescent="0.3">
      <c r="B35" s="69" t="s">
        <v>77</v>
      </c>
      <c r="C35" s="69"/>
      <c r="D35" s="69"/>
      <c r="E35" s="69"/>
    </row>
    <row r="36" spans="2:7" x14ac:dyDescent="0.3">
      <c r="B36" s="68" t="s">
        <v>133</v>
      </c>
      <c r="C36" s="68"/>
      <c r="D36" s="68"/>
      <c r="E36" s="68"/>
    </row>
    <row r="37" spans="2:7" ht="16.5" customHeight="1" x14ac:dyDescent="0.3">
      <c r="B37" s="70" t="s">
        <v>98</v>
      </c>
      <c r="C37" s="70"/>
      <c r="D37" s="70"/>
      <c r="E37" s="70"/>
      <c r="F37" s="70"/>
      <c r="G37" s="70"/>
    </row>
    <row r="38" spans="2:7" x14ac:dyDescent="0.3">
      <c r="B38" s="69" t="s">
        <v>97</v>
      </c>
      <c r="C38" s="69"/>
      <c r="D38" s="69"/>
      <c r="E38" s="69"/>
    </row>
    <row r="39" spans="2:7" x14ac:dyDescent="0.3">
      <c r="B39" s="71" t="s">
        <v>134</v>
      </c>
      <c r="C39" s="71"/>
      <c r="D39" s="71"/>
      <c r="E39" s="71"/>
      <c r="F39" s="71"/>
    </row>
    <row r="40" spans="2:7" x14ac:dyDescent="0.3">
      <c r="B40" s="69" t="s">
        <v>110</v>
      </c>
      <c r="C40" s="69"/>
      <c r="D40" s="69"/>
      <c r="E40" s="69"/>
      <c r="F40" s="69"/>
      <c r="G40" s="69"/>
    </row>
    <row r="41" spans="2:7" x14ac:dyDescent="0.3">
      <c r="B41" s="69" t="s">
        <v>105</v>
      </c>
      <c r="C41" s="69"/>
      <c r="D41" s="69"/>
      <c r="E41" s="69"/>
      <c r="F41" s="69"/>
    </row>
    <row r="42" spans="2:7" x14ac:dyDescent="0.3">
      <c r="B42" s="70" t="s">
        <v>108</v>
      </c>
      <c r="C42" s="69"/>
      <c r="D42" s="69"/>
      <c r="E42" s="69"/>
      <c r="F42" s="69"/>
    </row>
    <row r="43" spans="2:7" x14ac:dyDescent="0.3">
      <c r="B43" s="69" t="s">
        <v>106</v>
      </c>
      <c r="C43" s="69"/>
      <c r="D43" s="69"/>
      <c r="E43" s="69"/>
      <c r="F43" s="69"/>
    </row>
    <row r="44" spans="2:7" x14ac:dyDescent="0.3">
      <c r="B44" s="69" t="s">
        <v>107</v>
      </c>
      <c r="C44" s="69"/>
      <c r="D44" s="69"/>
      <c r="E44" s="69"/>
      <c r="F44" s="19"/>
    </row>
    <row r="45" spans="2:7" x14ac:dyDescent="0.3">
      <c r="B45" s="69" t="s">
        <v>109</v>
      </c>
      <c r="C45" s="69"/>
      <c r="D45" s="69"/>
      <c r="E45" s="69"/>
      <c r="F45" s="69"/>
    </row>
    <row r="46" spans="2:7" x14ac:dyDescent="0.3">
      <c r="B46" s="69" t="s">
        <v>111</v>
      </c>
      <c r="C46" s="69"/>
      <c r="D46" s="69"/>
      <c r="E46" s="69"/>
      <c r="F46" s="69"/>
    </row>
    <row r="47" spans="2:7" x14ac:dyDescent="0.3">
      <c r="B47" s="19"/>
      <c r="C47" s="19"/>
      <c r="D47" s="19"/>
      <c r="E47" s="19"/>
      <c r="F47" s="19"/>
    </row>
  </sheetData>
  <mergeCells count="27">
    <mergeCell ref="B43:F43"/>
    <mergeCell ref="B44:E44"/>
    <mergeCell ref="B45:F45"/>
    <mergeCell ref="B46:F46"/>
    <mergeCell ref="B29:E29"/>
    <mergeCell ref="B36:E36"/>
    <mergeCell ref="B37:G37"/>
    <mergeCell ref="B38:E38"/>
    <mergeCell ref="B39:F39"/>
    <mergeCell ref="B40:G40"/>
    <mergeCell ref="B31:E31"/>
    <mergeCell ref="B32:E32"/>
    <mergeCell ref="B35:E35"/>
    <mergeCell ref="B33:D33"/>
    <mergeCell ref="B34:D34"/>
    <mergeCell ref="B5:B9"/>
    <mergeCell ref="B14:B18"/>
    <mergeCell ref="B30:E30"/>
    <mergeCell ref="B41:F41"/>
    <mergeCell ref="B42:F42"/>
    <mergeCell ref="B22:E22"/>
    <mergeCell ref="B23:E23"/>
    <mergeCell ref="B24:E24"/>
    <mergeCell ref="B26:E26"/>
    <mergeCell ref="B27:E27"/>
    <mergeCell ref="B28:E28"/>
    <mergeCell ref="B21:E2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콘텐츠 제작 단가(내부 공유용)</vt:lpstr>
      <vt:lpstr>AI 콘텐츠 제작 단가(내부 공유용)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박주우</dc:creator>
  <cp:lastModifiedBy>박주우</cp:lastModifiedBy>
  <dcterms:created xsi:type="dcterms:W3CDTF">2025-09-30T05:30:46Z</dcterms:created>
  <dcterms:modified xsi:type="dcterms:W3CDTF">2026-01-26T02:10:00Z</dcterms:modified>
</cp:coreProperties>
</file>